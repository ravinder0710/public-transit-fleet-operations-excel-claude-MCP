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6841d790f9638e/Desktop/Data Analyst Project/chatgpt powered dashboard/"/>
    </mc:Choice>
  </mc:AlternateContent>
  <xr:revisionPtr revIDLastSave="2722" documentId="8_{BB04266D-8EBD-4866-AC2B-B6BE6F98C134}" xr6:coauthVersionLast="47" xr6:coauthVersionMax="47" xr10:uidLastSave="{C8789D39-B5A4-4891-8510-1CA98633D72A}"/>
  <bookViews>
    <workbookView xWindow="-108" yWindow="-108" windowWidth="23256" windowHeight="13896" activeTab="1" xr2:uid="{263AC699-B970-4F0B-AA26-86216AB5471D}"/>
  </bookViews>
  <sheets>
    <sheet name="PivotTable1" sheetId="3" r:id="rId1"/>
    <sheet name="Dashboard" sheetId="4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ee0fb0b1-9617-4bce-9093-558fea76a056" name="Dim_buses" connection="Query - Dim_buses"/>
          <x15:modelTable id="Dim_demographics_63f0e9c7-d433-4ba2-9c22-c28fe692fadc" name="Dim_demographics" connection="Query - Dim_demographics"/>
          <x15:modelTable id="Dim_routes_5549ada4-dd6b-49fe-b4cb-b63564f5d5be" name="Dim_routes" connection="Query - Dim_routes"/>
          <x15:modelTable id="Facttable_ridership_e0411602-61f3-4bfc-9e22-2b26315791a1" name="Facttable_ridership" connection="Query - Facttable_ridership"/>
          <x15:modelTable id="Dim_DateTable_ce92582e-ade9-4e9b-86ab-4e1ce95d31f6" name="Dim_DateTable" connection="Query - Dim_DateTable"/>
          <x15:modelTable id="Calculations_c181584d-4daf-4fac-87fd-94131f267d0d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table_ridership" fromColumn="BusID" toTable="Dim_buses" toColumn="BusID"/>
          <x15:modelRelationship fromTable="Facttable_ridership" fromColumn="Date" toTable="Dim_DateTable" toColumn="Date"/>
          <x15:modelRelationship fromTable="Facttable_ridership" fromColumn="RiderID" toTable="Dim_demographics" toColumn="Rid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7" i="3" l="1"/>
  <c r="AU8" i="3"/>
  <c r="AU9" i="3"/>
  <c r="AV9" i="3" s="1"/>
  <c r="AT8" i="3"/>
  <c r="AT9" i="3"/>
  <c r="AT7" i="3"/>
  <c r="AO8" i="3"/>
  <c r="AO9" i="3"/>
  <c r="AP9" i="3" s="1"/>
  <c r="AO10" i="3"/>
  <c r="AP10" i="3" s="1"/>
  <c r="AO11" i="3"/>
  <c r="AP11" i="3" s="1"/>
  <c r="AL9" i="3"/>
  <c r="AL10" i="3"/>
  <c r="AL11" i="3"/>
  <c r="AL8" i="3"/>
  <c r="AG8" i="3"/>
  <c r="AG9" i="3"/>
  <c r="AG10" i="3"/>
  <c r="AF9" i="3"/>
  <c r="AF10" i="3"/>
  <c r="AF8" i="3"/>
  <c r="V12" i="3"/>
  <c r="V13" i="3"/>
  <c r="V14" i="3"/>
  <c r="V15" i="3"/>
  <c r="V16" i="3"/>
  <c r="V17" i="3"/>
  <c r="V18" i="3"/>
  <c r="V19" i="3"/>
  <c r="U19" i="3"/>
  <c r="U13" i="3"/>
  <c r="U14" i="3"/>
  <c r="U15" i="3"/>
  <c r="U16" i="3"/>
  <c r="U17" i="3"/>
  <c r="U18" i="3"/>
  <c r="U12" i="3"/>
  <c r="M14" i="3"/>
  <c r="M15" i="3"/>
  <c r="M16" i="3"/>
  <c r="L15" i="3"/>
  <c r="L16" i="3"/>
  <c r="L14" i="3"/>
  <c r="G23" i="3"/>
  <c r="H14" i="3"/>
  <c r="G15" i="3"/>
  <c r="H22" i="3"/>
  <c r="H23" i="3"/>
  <c r="G22" i="3"/>
  <c r="G14" i="3"/>
  <c r="C22" i="3"/>
  <c r="C23" i="3"/>
  <c r="B23" i="3"/>
  <c r="B22" i="3"/>
  <c r="C18" i="3"/>
  <c r="C19" i="3"/>
  <c r="B19" i="3"/>
  <c r="B18" i="3"/>
  <c r="C14" i="3"/>
  <c r="C15" i="3"/>
  <c r="B15" i="3"/>
  <c r="B14" i="3"/>
  <c r="H15" i="3"/>
  <c r="AV8" i="3" l="1"/>
  <c r="AM11" i="3"/>
  <c r="AN11" i="3" s="1"/>
  <c r="AM10" i="3"/>
  <c r="AN10" i="3" s="1"/>
  <c r="AM9" i="3"/>
  <c r="AN9" i="3" s="1"/>
  <c r="W14" i="3"/>
  <c r="X14" i="3" s="1"/>
  <c r="W18" i="3"/>
  <c r="X18" i="3" s="1"/>
  <c r="W17" i="3"/>
  <c r="X17" i="3" s="1"/>
  <c r="W16" i="3"/>
  <c r="X16" i="3" s="1"/>
  <c r="W15" i="3"/>
  <c r="X15" i="3" s="1"/>
  <c r="O15" i="3"/>
  <c r="O18" i="3" s="1"/>
  <c r="W13" i="3"/>
  <c r="W19" i="3"/>
  <c r="X19" i="3" s="1"/>
  <c r="P15" i="3" l="1"/>
  <c r="X13" i="3"/>
  <c r="U25" i="3" s="1"/>
  <c r="U2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6BBC2-63E5-4C16-B8E9-B8D44045438C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3b2d7308-12f2-4813-852a-a0c057275cdf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2" xr16:uid="{147F97E9-C79E-4BEB-B63D-87A7FF191C81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496a0a8f-7248-429c-9363-2b6d51480e1b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10086E5F-E85E-4C90-8D6C-A6B9FC1AE2C0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e21405ce-2e73-4d67-a67e-33e7e9c6b346">
          <x15:oledbPr connection="Provider=Microsoft.Mashup.OleDb.1;Data Source=$Workbook$;Location=Dim_DateTable;Extended Properties=&quot;&quot;">
            <x15:dbTables>
              <x15:dbTable name="Dim_DateTable"/>
            </x15:dbTables>
          </x15:oledbPr>
        </x15:connection>
      </ext>
    </extLst>
  </connection>
  <connection id="4" xr16:uid="{6B3B1514-215E-4520-832C-F5133764F3C1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bdb81f72-8fb4-4720-b92e-cdb0fc8fb79a">
          <x15:oledbPr connection="Provider=Microsoft.Mashup.OleDb.1;Data Source=$Workbook$;Location=Dim_demographics;Extended Properties=&quot;&quot;">
            <x15:dbTables>
              <x15:dbTable name="Dim_demographics"/>
            </x15:dbTables>
          </x15:oledbPr>
        </x15:connection>
      </ext>
    </extLst>
  </connection>
  <connection id="5" xr16:uid="{03690DFE-E5F3-4BC6-8E40-7A20B1AA6301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6bd4f652-c8f9-40be-8fb5-ddae3b5e7a8b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9CCE14A1-E943-4A0E-A0D7-AA725FDE0DB1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d66d7548-8607-4a95-97ae-540a8e0771b8"/>
      </ext>
    </extLst>
  </connection>
  <connection id="7" xr16:uid="{CDBDEB2D-FDF5-46F7-9DAD-1ADC46E6839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<sst xmlns="http://schemas.openxmlformats.org/spreadsheetml/2006/main" count="61" uniqueCount="47">
  <si>
    <t>Total Riders (Passengers)</t>
  </si>
  <si>
    <t>Avg. Riders Per Trip</t>
  </si>
  <si>
    <t>East-West Express</t>
  </si>
  <si>
    <t>South Line</t>
  </si>
  <si>
    <t>RouteName</t>
  </si>
  <si>
    <t>Busiest Route</t>
  </si>
  <si>
    <t>Least busy Route</t>
  </si>
  <si>
    <t>Time Group</t>
  </si>
  <si>
    <t>10:00 AM - 3:00 PM</t>
  </si>
  <si>
    <t>3:00 PM - 8:00 PM</t>
  </si>
  <si>
    <t>5:00 AM - 10:00 AM</t>
  </si>
  <si>
    <t>8:00 PM - 12:00 AM</t>
  </si>
  <si>
    <t>Peak Hour Operations</t>
  </si>
  <si>
    <t>Time</t>
  </si>
  <si>
    <t>Off-Peak Hour Operations</t>
  </si>
  <si>
    <t>Year</t>
  </si>
  <si>
    <t>Total Riders (Passengers)2</t>
  </si>
  <si>
    <t>YoY Pct Change</t>
  </si>
  <si>
    <t>Indicator</t>
  </si>
  <si>
    <t>▲</t>
  </si>
  <si>
    <t>▼</t>
  </si>
  <si>
    <t>Caption:</t>
  </si>
  <si>
    <t>Day Name</t>
  </si>
  <si>
    <t>Fri</t>
  </si>
  <si>
    <t>Mon</t>
  </si>
  <si>
    <t>Sat</t>
  </si>
  <si>
    <t>Sun</t>
  </si>
  <si>
    <t>Thu</t>
  </si>
  <si>
    <t>Tue</t>
  </si>
  <si>
    <t>Wed</t>
  </si>
  <si>
    <t>Average</t>
  </si>
  <si>
    <t>Above Average</t>
  </si>
  <si>
    <t>Above Average Percentage</t>
  </si>
  <si>
    <t>Month Name</t>
  </si>
  <si>
    <t>Dec</t>
  </si>
  <si>
    <t>Jan</t>
  </si>
  <si>
    <t>Total Buses</t>
  </si>
  <si>
    <t>Bus Utilization Category</t>
  </si>
  <si>
    <t>Over-Utilized</t>
  </si>
  <si>
    <t>Under-Utilized</t>
  </si>
  <si>
    <t>Well-Utilized</t>
  </si>
  <si>
    <t>Pct</t>
  </si>
  <si>
    <t>Pct Left</t>
  </si>
  <si>
    <t>Operation Moment</t>
  </si>
  <si>
    <t>AM</t>
  </si>
  <si>
    <t>PM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</si>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</sst>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:ss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0" fontId="0" fillId="0" borderId="0" xfId="0" applyNumberFormat="1"/>
    <xf numFmtId="0" fontId="1" fillId="0" borderId="0" xfId="0" applyFont="1"/>
    <xf numFmtId="10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4" fontId="0" fillId="0" borderId="0" xfId="0" applyNumberFormat="1"/>
    <xf numFmtId="9" fontId="0" fillId="0" borderId="1" xfId="0" applyNumberFormat="1" applyBorder="1"/>
  </cellXfs>
  <cellStyles count="1">
    <cellStyle name="Normal" xfId="0" builtinId="0"/>
  </cellStyles>
  <dxfs count="2">
    <dxf>
      <numFmt numFmtId="164" formatCode="[$-10409]hh:mm:ss\ AM/PM;@"/>
    </dxf>
    <dxf>
      <numFmt numFmtId="164" formatCode="[$-10409]hh:mm:ss\ AM/PM;@"/>
    </dxf>
  </dxfs>
  <tableStyles count="0" defaultTableStyle="TableStyleMedium2" defaultPivotStyle="PivotStyleLight16"/>
  <colors>
    <mruColors>
      <color rgb="FF68B8B0"/>
      <color rgb="FF46768C"/>
      <color rgb="FF0D0D0D"/>
      <color rgb="FF01EAAD"/>
      <color rgb="FF595959"/>
      <color rgb="FF2A2A2A"/>
      <color rgb="FF2ADF83"/>
      <color rgb="FF242424"/>
      <color rgb="FF666666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0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[Transport_Dashboard.xlsx]PivotTable1!PivotTable3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8B8B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61188394908223"/>
          <c:y val="0.12618493698831151"/>
          <c:w val="0.5265478055306394"/>
          <c:h val="0.87162924887197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PivotTable1!$H$2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8B8B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PivotTable1!$G$3:$G$6</c:f>
              <c:strCache>
                <c:ptCount val="4"/>
                <c:pt idx="0">
                  <c:v>10:00 AM - 3:00 PM</c:v>
                </c:pt>
                <c:pt idx="1">
                  <c:v>3:00 PM - 8:00 PM</c:v>
                </c:pt>
                <c:pt idx="2">
                  <c:v>5:00 AM - 10:00 AM</c:v>
                </c:pt>
                <c:pt idx="3">
                  <c:v>8:00 PM - 12:00 AM</c:v>
                </c:pt>
              </c:strCache>
            </c:strRef>
          </c:cat>
          <c:val>
            <c:numRef>
              <c:f>PivotTable1!$H$3:$H$6</c:f>
              <c:numCache>
                <c:formatCode>#,##0</c:formatCode>
                <c:ptCount val="4"/>
                <c:pt idx="0">
                  <c:v>2243</c:v>
                </c:pt>
                <c:pt idx="1">
                  <c:v>1346</c:v>
                </c:pt>
                <c:pt idx="2">
                  <c:v>1345</c:v>
                </c:pt>
                <c:pt idx="3">
                  <c:v>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F-40C2-A59C-02B4A883F1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1432855552"/>
        <c:axId val="594325968"/>
      </c:barChart>
      <c:catAx>
        <c:axId val="143285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25968"/>
        <c:crosses val="autoZero"/>
        <c:auto val="1"/>
        <c:lblAlgn val="ctr"/>
        <c:lblOffset val="100"/>
        <c:noMultiLvlLbl val="0"/>
      </c:catAx>
      <c:valAx>
        <c:axId val="59432596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43285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247594050743655E-2"/>
          <c:y val="0.15510204081632653"/>
          <c:w val="0.46097462817147855"/>
          <c:h val="0.69699373292624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PivotTable1!$M$14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F0-458F-91B1-D92C196BCF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68B8B0"/>
                </a:solidFill>
                <a:prstDash val="solid"/>
                <a:headEnd type="oval"/>
                <a:tailEnd type="oval"/>
              </a:ln>
              <a:effectLst/>
            </c:spPr>
            <c:trendlineType val="linear"/>
            <c:dispRSqr val="0"/>
            <c:dispEq val="0"/>
          </c:trendline>
          <c:cat>
            <c:numRef>
              <c:f>PivotTable1!$L$15:$L$16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PivotTable1!$M$15:$M$16</c:f>
              <c:numCache>
                <c:formatCode>General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0-458F-91B1-D92C196BCF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axId val="474508032"/>
        <c:axId val="643265456"/>
      </c:barChart>
      <c:catAx>
        <c:axId val="4745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65456"/>
        <c:crosses val="autoZero"/>
        <c:auto val="1"/>
        <c:lblAlgn val="ctr"/>
        <c:lblOffset val="100"/>
        <c:noMultiLvlLbl val="0"/>
      </c:catAx>
      <c:valAx>
        <c:axId val="643265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5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808771994032845E-2"/>
          <c:y val="7.158805863581845E-2"/>
          <c:w val="0.95630050115223419"/>
          <c:h val="0.78774993119070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PivotTable1!$V$12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7CC-4FDB-8F84-98F58F6E9E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7CC-4FDB-8F84-98F58F6E9E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7CC-4FDB-8F84-98F58F6E9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PivotTable1!$U$13:$U$19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PivotTable1!$V$13:$V$19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FDB-8F84-98F58F6E9EC7}"/>
            </c:ext>
          </c:extLst>
        </c:ser>
        <c:ser>
          <c:idx val="2"/>
          <c:order val="2"/>
          <c:tx>
            <c:strRef>
              <c:f>PivotTable1!$X$12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rgbClr val="68B8B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PivotTable1!$X$13:$X$19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C-4FDB-8F84-98F58F6E9E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"/>
        <c:overlap val="100"/>
        <c:axId val="1553304912"/>
        <c:axId val="1978093104"/>
      </c:barChart>
      <c:lineChart>
        <c:grouping val="standard"/>
        <c:varyColors val="0"/>
        <c:ser>
          <c:idx val="1"/>
          <c:order val="1"/>
          <c:tx>
            <c:strRef>
              <c:f>PivotTable1!$W$12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CC-4FDB-8F84-98F58F6E9E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CC-4FDB-8F84-98F58F6E9E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CC-4FDB-8F84-98F58F6E9EC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CC-4FDB-8F84-98F58F6E9EC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CC-4FDB-8F84-98F58F6E9EC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CC-4FDB-8F84-98F58F6E9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8B8B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PivotTable1!$W$13:$W$19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CC-4FDB-8F84-98F58F6E9E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3304912"/>
        <c:axId val="1978093104"/>
      </c:lineChart>
      <c:catAx>
        <c:axId val="15533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93104"/>
        <c:crosses val="autoZero"/>
        <c:auto val="1"/>
        <c:lblAlgn val="ctr"/>
        <c:lblOffset val="100"/>
        <c:noMultiLvlLbl val="0"/>
      </c:catAx>
      <c:valAx>
        <c:axId val="197809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330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66672576095315E-2"/>
          <c:y val="0.19547317977145029"/>
          <c:w val="0.85798941468278322"/>
          <c:h val="0.62744505010346985"/>
        </c:manualLayout>
      </c:layout>
      <c:lineChart>
        <c:grouping val="standard"/>
        <c:varyColors val="0"/>
        <c:ser>
          <c:idx val="0"/>
          <c:order val="0"/>
          <c:tx>
            <c:strRef>
              <c:f>PivotTable1!$AG$8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ln w="28575" cap="rnd">
              <a:solidFill>
                <a:srgbClr val="68B8B0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PivotTable1!$AF$9:$AF$10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PivotTable1!$AG$9:$AG$10</c:f>
              <c:numCache>
                <c:formatCode>General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5-42C5-A056-6AF37304EE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3392608"/>
        <c:axId val="1978112784"/>
      </c:lineChart>
      <c:catAx>
        <c:axId val="15533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2784"/>
        <c:crosses val="autoZero"/>
        <c:auto val="1"/>
        <c:lblAlgn val="ctr"/>
        <c:lblOffset val="100"/>
        <c:noMultiLvlLbl val="0"/>
      </c:catAx>
      <c:valAx>
        <c:axId val="1978112784"/>
        <c:scaling>
          <c:orientation val="minMax"/>
        </c:scaling>
        <c:delete val="0"/>
        <c:axPos val="l"/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926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PivotTable1!$AL$9</c:f>
              <c:strCache>
                <c:ptCount val="1"/>
                <c:pt idx="0">
                  <c:v>Over-Utilized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68B8B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6D-4AAF-8A02-49BEDDCAF750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6D-4AAF-8A02-49BEDDCAF750}"/>
              </c:ext>
            </c:extLst>
          </c:dPt>
          <c:val>
            <c:numRef>
              <c:f>PivotTable1!$AM$9:$AN$9</c:f>
              <c:numCache>
                <c:formatCode>0%</c:formatCode>
                <c:ptCount val="2"/>
                <c:pt idx="0">
                  <c:v>0.34523809523809523</c:v>
                </c:pt>
                <c:pt idx="1">
                  <c:v>0.65476190476190477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6D-4AAF-8A02-49BEDDCA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PivotTable1!$AL$10</c:f>
              <c:strCache>
                <c:ptCount val="1"/>
                <c:pt idx="0">
                  <c:v>Under-Utilized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D9-48D9-B8CF-DD858A7CA8A3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D9-48D9-B8CF-DD858A7CA8A3}"/>
              </c:ext>
            </c:extLst>
          </c:dPt>
          <c:val>
            <c:numRef>
              <c:f>PivotTable1!$AM$10:$AN$10</c:f>
              <c:numCache>
                <c:formatCode>0%</c:formatCode>
                <c:ptCount val="2"/>
                <c:pt idx="0">
                  <c:v>0.22619047619047619</c:v>
                </c:pt>
                <c:pt idx="1">
                  <c:v>0.77380952380952384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9-48D9-B8CF-DD858A7CA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PivotTable1!$AL$11</c:f>
              <c:strCache>
                <c:ptCount val="1"/>
                <c:pt idx="0">
                  <c:v>Well-Utilized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1E-4585-8699-86286A7DB2A6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1E-4585-8699-86286A7DB2A6}"/>
              </c:ext>
            </c:extLst>
          </c:dPt>
          <c:val>
            <c:numRef>
              <c:f>PivotTable1!$AM$11:$AN$11</c:f>
              <c:numCache>
                <c:formatCode>0%</c:formatCode>
                <c:ptCount val="2"/>
                <c:pt idx="0">
                  <c:v>0.42857142857142855</c:v>
                </c:pt>
                <c:pt idx="1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E-4585-8699-86286A7DB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image" Target="../media/image4.svg"/><Relationship Id="rId11" Type="http://schemas.openxmlformats.org/officeDocument/2006/relationships/chart" Target="../charts/chart8.xml"/><Relationship Id="rId5" Type="http://schemas.openxmlformats.org/officeDocument/2006/relationships/image" Target="../media/image3.png"/><Relationship Id="rId10" Type="http://schemas.openxmlformats.org/officeDocument/2006/relationships/chart" Target="../charts/chart7.xml"/><Relationship Id="rId4" Type="http://schemas.openxmlformats.org/officeDocument/2006/relationships/chart" Target="../charts/chart3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533400</xdr:colOff>
      <xdr:row>10</xdr:row>
      <xdr:rowOff>83820</xdr:rowOff>
    </xdr:from>
    <xdr:to>
      <xdr:col>34</xdr:col>
      <xdr:colOff>525780</xdr:colOff>
      <xdr:row>25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D8EB83-E7F1-BFE3-92AF-78A351824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115102</xdr:colOff>
      <xdr:row>0</xdr:row>
      <xdr:rowOff>0</xdr:rowOff>
    </xdr:from>
    <xdr:to>
      <xdr:col>16</xdr:col>
      <xdr:colOff>496102</xdr:colOff>
      <xdr:row>38</xdr:row>
      <xdr:rowOff>59739</xdr:rowOff>
    </xdr:to>
    <xdr:sp macro="" textlink="">
      <xdr:nvSpPr>
        <xdr:cNvPr id="14" name="Arrow: Pentagon 13">
          <a:extLst>
            <a:ext uri="{FF2B5EF4-FFF2-40B4-BE49-F238E27FC236}">
              <a16:creationId xmlns:a16="http://schemas.microsoft.com/office/drawing/2014/main" id="{C4CAA4A6-194E-4C53-B437-29D135E59F36}"/>
            </a:ext>
          </a:extLst>
        </xdr:cNvPr>
        <xdr:cNvSpPr/>
      </xdr:nvSpPr>
      <xdr:spPr>
        <a:xfrm flipH="1">
          <a:off x="1334302" y="0"/>
          <a:ext cx="9525000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39000">
              <a:srgbClr val="3B3B3B"/>
            </a:gs>
            <a:gs pos="71000">
              <a:srgbClr val="595959"/>
            </a:gs>
            <a:gs pos="98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2</xdr:col>
      <xdr:colOff>419902</xdr:colOff>
      <xdr:row>0</xdr:row>
      <xdr:rowOff>0</xdr:rowOff>
    </xdr:from>
    <xdr:to>
      <xdr:col>18</xdr:col>
      <xdr:colOff>191302</xdr:colOff>
      <xdr:row>38</xdr:row>
      <xdr:rowOff>59739</xdr:rowOff>
    </xdr:to>
    <xdr:sp macro="" textlink="">
      <xdr:nvSpPr>
        <xdr:cNvPr id="10" name="Arrow: Pentagon 9">
          <a:extLst>
            <a:ext uri="{FF2B5EF4-FFF2-40B4-BE49-F238E27FC236}">
              <a16:creationId xmlns:a16="http://schemas.microsoft.com/office/drawing/2014/main" id="{35201ED1-C866-4A8C-AB42-4E4011A8F138}"/>
            </a:ext>
          </a:extLst>
        </xdr:cNvPr>
        <xdr:cNvSpPr/>
      </xdr:nvSpPr>
      <xdr:spPr>
        <a:xfrm flipH="1">
          <a:off x="2248702" y="0"/>
          <a:ext cx="9525000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26000">
              <a:srgbClr val="2A2A2A"/>
            </a:gs>
            <a:gs pos="64000">
              <a:srgbClr val="595959"/>
            </a:gs>
            <a:gs pos="91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4</xdr:col>
      <xdr:colOff>115102</xdr:colOff>
      <xdr:row>0</xdr:row>
      <xdr:rowOff>0</xdr:rowOff>
    </xdr:from>
    <xdr:to>
      <xdr:col>19</xdr:col>
      <xdr:colOff>496102</xdr:colOff>
      <xdr:row>38</xdr:row>
      <xdr:rowOff>59739</xdr:rowOff>
    </xdr:to>
    <xdr:sp macro="" textlink="">
      <xdr:nvSpPr>
        <xdr:cNvPr id="11" name="Arrow: Pentagon 10">
          <a:extLst>
            <a:ext uri="{FF2B5EF4-FFF2-40B4-BE49-F238E27FC236}">
              <a16:creationId xmlns:a16="http://schemas.microsoft.com/office/drawing/2014/main" id="{C26FA178-3B7E-4A86-94CC-7FEF6042D022}"/>
            </a:ext>
          </a:extLst>
        </xdr:cNvPr>
        <xdr:cNvSpPr/>
      </xdr:nvSpPr>
      <xdr:spPr>
        <a:xfrm flipH="1">
          <a:off x="3163102" y="0"/>
          <a:ext cx="9525000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81000">
              <a:srgbClr val="3B3B3B"/>
            </a:gs>
            <a:gs pos="59000">
              <a:srgbClr val="595959"/>
            </a:gs>
            <a:gs pos="96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5</xdr:col>
      <xdr:colOff>419902</xdr:colOff>
      <xdr:row>0</xdr:row>
      <xdr:rowOff>0</xdr:rowOff>
    </xdr:from>
    <xdr:to>
      <xdr:col>21</xdr:col>
      <xdr:colOff>191302</xdr:colOff>
      <xdr:row>38</xdr:row>
      <xdr:rowOff>59739</xdr:rowOff>
    </xdr:to>
    <xdr:sp macro="" textlink="">
      <xdr:nvSpPr>
        <xdr:cNvPr id="12" name="Arrow: Pentagon 11">
          <a:extLst>
            <a:ext uri="{FF2B5EF4-FFF2-40B4-BE49-F238E27FC236}">
              <a16:creationId xmlns:a16="http://schemas.microsoft.com/office/drawing/2014/main" id="{D5E983E0-173A-7FC6-E440-C47D083D3912}"/>
            </a:ext>
          </a:extLst>
        </xdr:cNvPr>
        <xdr:cNvSpPr/>
      </xdr:nvSpPr>
      <xdr:spPr>
        <a:xfrm flipH="1">
          <a:off x="4077502" y="0"/>
          <a:ext cx="9525000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26000">
              <a:srgbClr val="2A2A2A"/>
            </a:gs>
            <a:gs pos="64000">
              <a:srgbClr val="595959"/>
            </a:gs>
            <a:gs pos="91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7</xdr:col>
      <xdr:colOff>92242</xdr:colOff>
      <xdr:row>0</xdr:row>
      <xdr:rowOff>0</xdr:rowOff>
    </xdr:from>
    <xdr:to>
      <xdr:col>22</xdr:col>
      <xdr:colOff>473242</xdr:colOff>
      <xdr:row>38</xdr:row>
      <xdr:rowOff>59739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1781CF8C-4F5E-D0A9-44B7-47ED42B047C7}"/>
            </a:ext>
          </a:extLst>
        </xdr:cNvPr>
        <xdr:cNvSpPr/>
      </xdr:nvSpPr>
      <xdr:spPr>
        <a:xfrm flipH="1">
          <a:off x="4969042" y="0"/>
          <a:ext cx="9525000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39000">
              <a:srgbClr val="3B3B3B"/>
            </a:gs>
            <a:gs pos="71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8</xdr:col>
      <xdr:colOff>351320</xdr:colOff>
      <xdr:row>0</xdr:row>
      <xdr:rowOff>0</xdr:rowOff>
    </xdr:from>
    <xdr:to>
      <xdr:col>34</xdr:col>
      <xdr:colOff>317666</xdr:colOff>
      <xdr:row>38</xdr:row>
      <xdr:rowOff>59739</xdr:rowOff>
    </xdr:to>
    <xdr:sp macro="" textlink="">
      <xdr:nvSpPr>
        <xdr:cNvPr id="13" name="Arrow: Pentagon 12">
          <a:extLst>
            <a:ext uri="{FF2B5EF4-FFF2-40B4-BE49-F238E27FC236}">
              <a16:creationId xmlns:a16="http://schemas.microsoft.com/office/drawing/2014/main" id="{B3A861E2-196A-2D30-1A29-A608FCDEB26D}"/>
            </a:ext>
          </a:extLst>
        </xdr:cNvPr>
        <xdr:cNvSpPr/>
      </xdr:nvSpPr>
      <xdr:spPr>
        <a:xfrm flipH="1">
          <a:off x="5837720" y="0"/>
          <a:ext cx="15815946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39000">
              <a:schemeClr val="bg1">
                <a:lumMod val="95000"/>
              </a:schemeClr>
            </a:gs>
            <a:gs pos="98000">
              <a:schemeClr val="tx1">
                <a:lumMod val="65000"/>
                <a:lumOff val="35000"/>
              </a:schemeClr>
            </a:gs>
            <a:gs pos="67000">
              <a:schemeClr val="bg1">
                <a:lumMod val="65000"/>
              </a:schemeClr>
            </a:gs>
            <a:gs pos="93000">
              <a:schemeClr val="tx1">
                <a:lumMod val="85000"/>
                <a:lumOff val="15000"/>
              </a:scheme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0</xdr:col>
      <xdr:colOff>518961</xdr:colOff>
      <xdr:row>0</xdr:row>
      <xdr:rowOff>139693</xdr:rowOff>
    </xdr:from>
    <xdr:to>
      <xdr:col>7</xdr:col>
      <xdr:colOff>513346</xdr:colOff>
      <xdr:row>2</xdr:row>
      <xdr:rowOff>132073</xdr:rowOff>
    </xdr:to>
    <xdr:sp macro="" textlink="PivotTable1!B19">
      <xdr:nvSpPr>
        <xdr:cNvPr id="27" name="TextBox 26">
          <a:extLst>
            <a:ext uri="{FF2B5EF4-FFF2-40B4-BE49-F238E27FC236}">
              <a16:creationId xmlns:a16="http://schemas.microsoft.com/office/drawing/2014/main" id="{4EA030A9-0372-48C2-9DEA-A02E3E3CB134}"/>
            </a:ext>
          </a:extLst>
        </xdr:cNvPr>
        <xdr:cNvSpPr txBox="1"/>
      </xdr:nvSpPr>
      <xdr:spPr>
        <a:xfrm>
          <a:off x="1128561" y="139693"/>
          <a:ext cx="4261585" cy="361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Transaction </a:t>
          </a:r>
          <a:r>
            <a:rPr lang="en-US" sz="2400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Dashboard</a:t>
          </a:r>
          <a:endParaRPr lang="en-IN" sz="2400">
            <a:solidFill>
              <a:schemeClr val="bg1">
                <a:lumMod val="75000"/>
              </a:schemeClr>
            </a:solidFill>
            <a:latin typeface="Arial Black" panose="020B0A040201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517121</xdr:colOff>
      <xdr:row>8</xdr:row>
      <xdr:rowOff>130758</xdr:rowOff>
    </xdr:from>
    <xdr:to>
      <xdr:col>8</xdr:col>
      <xdr:colOff>594540</xdr:colOff>
      <xdr:row>23</xdr:row>
      <xdr:rowOff>145998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56241A34-A780-ACAA-06F4-F69C9EE42E9C}"/>
            </a:ext>
          </a:extLst>
        </xdr:cNvPr>
        <xdr:cNvGrpSpPr/>
      </xdr:nvGrpSpPr>
      <xdr:grpSpPr>
        <a:xfrm>
          <a:off x="517121" y="1606632"/>
          <a:ext cx="4954219" cy="2782503"/>
          <a:chOff x="1110679" y="1602206"/>
          <a:chExt cx="4954219" cy="2774206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8E10CB11-1694-47E1-AC47-BC8AC6CADED8}"/>
              </a:ext>
            </a:extLst>
          </xdr:cNvPr>
          <xdr:cNvSpPr/>
        </xdr:nvSpPr>
        <xdr:spPr>
          <a:xfrm>
            <a:off x="1110679" y="1602206"/>
            <a:ext cx="4944758" cy="2758817"/>
          </a:xfrm>
          <a:prstGeom prst="roundRect">
            <a:avLst>
              <a:gd name="adj" fmla="val 6667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E60A0F95-10C4-4A8C-8AE0-22455B8A9008}"/>
              </a:ext>
            </a:extLst>
          </xdr:cNvPr>
          <xdr:cNvSpPr/>
        </xdr:nvSpPr>
        <xdr:spPr>
          <a:xfrm>
            <a:off x="1120140" y="1617595"/>
            <a:ext cx="4944758" cy="2758817"/>
          </a:xfrm>
          <a:prstGeom prst="roundRect">
            <a:avLst>
              <a:gd name="adj" fmla="val 6667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75415</xdr:colOff>
      <xdr:row>9</xdr:row>
      <xdr:rowOff>70154</xdr:rowOff>
    </xdr:from>
    <xdr:to>
      <xdr:col>1</xdr:col>
      <xdr:colOff>221003</xdr:colOff>
      <xdr:row>10</xdr:row>
      <xdr:rowOff>31274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5A2A7EC-5EF0-4A5C-A411-16F6CC744EC0}"/>
            </a:ext>
          </a:extLst>
        </xdr:cNvPr>
        <xdr:cNvSpPr/>
      </xdr:nvSpPr>
      <xdr:spPr>
        <a:xfrm>
          <a:off x="1294615" y="1730512"/>
          <a:ext cx="145588" cy="145604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569512</xdr:colOff>
      <xdr:row>8</xdr:row>
      <xdr:rowOff>181425</xdr:rowOff>
    </xdr:from>
    <xdr:to>
      <xdr:col>8</xdr:col>
      <xdr:colOff>304801</xdr:colOff>
      <xdr:row>10</xdr:row>
      <xdr:rowOff>105225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6A49F73-F017-4F85-A3E5-4B10A8277B0F}"/>
            </a:ext>
          </a:extLst>
        </xdr:cNvPr>
        <xdr:cNvSpPr txBox="1"/>
      </xdr:nvSpPr>
      <xdr:spPr>
        <a:xfrm>
          <a:off x="1179112" y="1657299"/>
          <a:ext cx="4612089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Bus Utilization by Time</a:t>
          </a:r>
          <a:r>
            <a:rPr lang="en-IN" sz="13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Range </a:t>
          </a:r>
          <a:r>
            <a:rPr lang="en-IN" sz="11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(Total Passengers by Time)</a:t>
          </a:r>
          <a:endParaRPr lang="en-IN" sz="20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539917</xdr:colOff>
      <xdr:row>8</xdr:row>
      <xdr:rowOff>126980</xdr:rowOff>
    </xdr:from>
    <xdr:to>
      <xdr:col>8</xdr:col>
      <xdr:colOff>103354</xdr:colOff>
      <xdr:row>23</xdr:row>
      <xdr:rowOff>71417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C348F14-E7E6-4060-A135-BF6B6A345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560536</xdr:colOff>
      <xdr:row>17</xdr:row>
      <xdr:rowOff>42274</xdr:rowOff>
    </xdr:from>
    <xdr:to>
      <xdr:col>7</xdr:col>
      <xdr:colOff>489349</xdr:colOff>
      <xdr:row>20</xdr:row>
      <xdr:rowOff>34587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262D915-DB10-1DA4-8EA3-DBE6EADF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736" y="3178506"/>
          <a:ext cx="538413" cy="545765"/>
        </a:xfrm>
        <a:prstGeom prst="rect">
          <a:avLst/>
        </a:prstGeom>
      </xdr:spPr>
    </xdr:pic>
    <xdr:clientData/>
  </xdr:twoCellAnchor>
  <xdr:twoCellAnchor editAs="oneCell">
    <xdr:from>
      <xdr:col>6</xdr:col>
      <xdr:colOff>560536</xdr:colOff>
      <xdr:row>11</xdr:row>
      <xdr:rowOff>17563</xdr:rowOff>
    </xdr:from>
    <xdr:to>
      <xdr:col>7</xdr:col>
      <xdr:colOff>381349</xdr:colOff>
      <xdr:row>13</xdr:row>
      <xdr:rowOff>84438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7EFEC4C-5884-3AEF-3577-D9CCFCBE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736" y="2046889"/>
          <a:ext cx="430413" cy="435844"/>
        </a:xfrm>
        <a:prstGeom prst="rect">
          <a:avLst/>
        </a:prstGeom>
      </xdr:spPr>
    </xdr:pic>
    <xdr:clientData/>
  </xdr:twoCellAnchor>
  <xdr:twoCellAnchor>
    <xdr:from>
      <xdr:col>5</xdr:col>
      <xdr:colOff>605206</xdr:colOff>
      <xdr:row>13</xdr:row>
      <xdr:rowOff>49807</xdr:rowOff>
    </xdr:from>
    <xdr:to>
      <xdr:col>8</xdr:col>
      <xdr:colOff>444679</xdr:colOff>
      <xdr:row>14</xdr:row>
      <xdr:rowOff>156170</xdr:rowOff>
    </xdr:to>
    <xdr:sp macro="" textlink="PivotTable1!G9">
      <xdr:nvSpPr>
        <xdr:cNvPr id="42" name="TextBox 41">
          <a:extLst>
            <a:ext uri="{FF2B5EF4-FFF2-40B4-BE49-F238E27FC236}">
              <a16:creationId xmlns:a16="http://schemas.microsoft.com/office/drawing/2014/main" id="{34804725-DA1B-4127-AD94-B830552AE35C}"/>
            </a:ext>
          </a:extLst>
        </xdr:cNvPr>
        <xdr:cNvSpPr txBox="1"/>
      </xdr:nvSpPr>
      <xdr:spPr>
        <a:xfrm>
          <a:off x="4262806" y="2448102"/>
          <a:ext cx="1668273" cy="290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D0C8C2B-FEAE-40D2-8F16-6B7E24CBD8DB}" type="TxLink">
            <a:rPr lang="en-US" sz="11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Peak Hour Operations</a:t>
          </a:fld>
          <a:endParaRPr lang="en-IN" sz="11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605206</xdr:colOff>
      <xdr:row>19</xdr:row>
      <xdr:rowOff>162532</xdr:rowOff>
    </xdr:from>
    <xdr:to>
      <xdr:col>8</xdr:col>
      <xdr:colOff>587554</xdr:colOff>
      <xdr:row>21</xdr:row>
      <xdr:rowOff>86332</xdr:rowOff>
    </xdr:to>
    <xdr:sp macro="" textlink="PivotTable1!G17">
      <xdr:nvSpPr>
        <xdr:cNvPr id="43" name="TextBox 42">
          <a:extLst>
            <a:ext uri="{FF2B5EF4-FFF2-40B4-BE49-F238E27FC236}">
              <a16:creationId xmlns:a16="http://schemas.microsoft.com/office/drawing/2014/main" id="{9C316738-E345-4107-BCCB-18EE0AFD172C}"/>
            </a:ext>
          </a:extLst>
        </xdr:cNvPr>
        <xdr:cNvSpPr txBox="1"/>
      </xdr:nvSpPr>
      <xdr:spPr>
        <a:xfrm>
          <a:off x="4262806" y="3667732"/>
          <a:ext cx="1811148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AD17B08-B45C-4754-ACF0-AF5D45EA381E}" type="TxLink">
            <a:rPr lang="en-US" sz="11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Off-Peak Hour Operations</a:t>
          </a:fld>
          <a:endParaRPr lang="en-IN" sz="11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49581</xdr:colOff>
      <xdr:row>14</xdr:row>
      <xdr:rowOff>71085</xdr:rowOff>
    </xdr:from>
    <xdr:to>
      <xdr:col>8</xdr:col>
      <xdr:colOff>444679</xdr:colOff>
      <xdr:row>15</xdr:row>
      <xdr:rowOff>177765</xdr:rowOff>
    </xdr:to>
    <xdr:sp macro="" textlink="PivotTable1!G15">
      <xdr:nvSpPr>
        <xdr:cNvPr id="44" name="TextBox 43">
          <a:extLst>
            <a:ext uri="{FF2B5EF4-FFF2-40B4-BE49-F238E27FC236}">
              <a16:creationId xmlns:a16="http://schemas.microsoft.com/office/drawing/2014/main" id="{CE85DF63-6FF6-4EC1-8C97-0AF179E74FC0}"/>
            </a:ext>
          </a:extLst>
        </xdr:cNvPr>
        <xdr:cNvSpPr txBox="1"/>
      </xdr:nvSpPr>
      <xdr:spPr>
        <a:xfrm>
          <a:off x="4316781" y="2653864"/>
          <a:ext cx="1614298" cy="291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BDEE217-2E0E-4829-A21B-6064018A55FA}" type="TxLink">
            <a:rPr lang="en-US" sz="16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08:57:00 PM</a:t>
          </a:fld>
          <a:endParaRPr lang="en-IN" sz="16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49581</xdr:colOff>
      <xdr:row>21</xdr:row>
      <xdr:rowOff>1240</xdr:rowOff>
    </xdr:from>
    <xdr:to>
      <xdr:col>8</xdr:col>
      <xdr:colOff>444679</xdr:colOff>
      <xdr:row>22</xdr:row>
      <xdr:rowOff>107921</xdr:rowOff>
    </xdr:to>
    <xdr:sp macro="" textlink="PivotTable1!G23">
      <xdr:nvSpPr>
        <xdr:cNvPr id="46" name="TextBox 45">
          <a:extLst>
            <a:ext uri="{FF2B5EF4-FFF2-40B4-BE49-F238E27FC236}">
              <a16:creationId xmlns:a16="http://schemas.microsoft.com/office/drawing/2014/main" id="{CBF2FF26-D907-64C1-42BB-21B51D0637B2}"/>
            </a:ext>
          </a:extLst>
        </xdr:cNvPr>
        <xdr:cNvSpPr txBox="1"/>
      </xdr:nvSpPr>
      <xdr:spPr>
        <a:xfrm>
          <a:off x="4316781" y="3875408"/>
          <a:ext cx="1614298" cy="291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4B0781A-18C4-4DAA-BAF2-DBCDFC8E795E}" type="TxLink">
            <a:rPr lang="en-US" sz="16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07:50:00 PM</a:t>
          </a:fld>
          <a:endParaRPr lang="en-IN" sz="16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528587</xdr:colOff>
      <xdr:row>24</xdr:row>
      <xdr:rowOff>147454</xdr:rowOff>
    </xdr:from>
    <xdr:to>
      <xdr:col>8</xdr:col>
      <xdr:colOff>601441</xdr:colOff>
      <xdr:row>33</xdr:row>
      <xdr:rowOff>98700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E633E477-9130-69DA-D1AB-5CE490D4BB9F}"/>
            </a:ext>
          </a:extLst>
        </xdr:cNvPr>
        <xdr:cNvSpPr/>
      </xdr:nvSpPr>
      <xdr:spPr>
        <a:xfrm>
          <a:off x="1138187" y="4575075"/>
          <a:ext cx="4949654" cy="1611604"/>
        </a:xfrm>
        <a:prstGeom prst="roundRect">
          <a:avLst>
            <a:gd name="adj" fmla="val 6667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534519</xdr:colOff>
      <xdr:row>24</xdr:row>
      <xdr:rowOff>128078</xdr:rowOff>
    </xdr:from>
    <xdr:to>
      <xdr:col>8</xdr:col>
      <xdr:colOff>601068</xdr:colOff>
      <xdr:row>33</xdr:row>
      <xdr:rowOff>79324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8D0DBB1F-4C47-5E42-F8D5-55CF8FBA4567}"/>
            </a:ext>
          </a:extLst>
        </xdr:cNvPr>
        <xdr:cNvSpPr/>
      </xdr:nvSpPr>
      <xdr:spPr>
        <a:xfrm>
          <a:off x="1144119" y="4555699"/>
          <a:ext cx="4943349" cy="1611604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551348</xdr:colOff>
      <xdr:row>24</xdr:row>
      <xdr:rowOff>150813</xdr:rowOff>
    </xdr:from>
    <xdr:to>
      <xdr:col>8</xdr:col>
      <xdr:colOff>233848</xdr:colOff>
      <xdr:row>33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94679-EACC-4075-8512-3D231FF6E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29378</xdr:colOff>
      <xdr:row>25</xdr:row>
      <xdr:rowOff>32057</xdr:rowOff>
    </xdr:from>
    <xdr:to>
      <xdr:col>1</xdr:col>
      <xdr:colOff>174966</xdr:colOff>
      <xdr:row>25</xdr:row>
      <xdr:rowOff>175739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3A79738-B9DB-46F2-B352-2EB0833DA173}"/>
            </a:ext>
          </a:extLst>
        </xdr:cNvPr>
        <xdr:cNvSpPr/>
      </xdr:nvSpPr>
      <xdr:spPr>
        <a:xfrm>
          <a:off x="1248578" y="4644162"/>
          <a:ext cx="145588" cy="14368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160421</xdr:colOff>
      <xdr:row>24</xdr:row>
      <xdr:rowOff>135223</xdr:rowOff>
    </xdr:from>
    <xdr:to>
      <xdr:col>6</xdr:col>
      <xdr:colOff>0</xdr:colOff>
      <xdr:row>26</xdr:row>
      <xdr:rowOff>59023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87E404-1A4E-46AF-A1FA-A15A3101F1CE}"/>
            </a:ext>
          </a:extLst>
        </xdr:cNvPr>
        <xdr:cNvSpPr txBox="1"/>
      </xdr:nvSpPr>
      <xdr:spPr>
        <a:xfrm>
          <a:off x="1379621" y="4562844"/>
          <a:ext cx="2887579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3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Rider Yearly Distribution</a:t>
          </a:r>
          <a:endParaRPr lang="en-IN" sz="13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517708</xdr:colOff>
      <xdr:row>26</xdr:row>
      <xdr:rowOff>112998</xdr:rowOff>
    </xdr:from>
    <xdr:to>
      <xdr:col>6</xdr:col>
      <xdr:colOff>473241</xdr:colOff>
      <xdr:row>28</xdr:row>
      <xdr:rowOff>36798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5FB08A-91A4-40A5-994E-214660DE94F6}"/>
            </a:ext>
          </a:extLst>
        </xdr:cNvPr>
        <xdr:cNvSpPr txBox="1"/>
      </xdr:nvSpPr>
      <xdr:spPr>
        <a:xfrm>
          <a:off x="3565708" y="4909587"/>
          <a:ext cx="1174733" cy="292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YoY Change</a:t>
          </a:r>
        </a:p>
      </xdr:txBody>
    </xdr:sp>
    <xdr:clientData/>
  </xdr:twoCellAnchor>
  <xdr:twoCellAnchor>
    <xdr:from>
      <xdr:col>4</xdr:col>
      <xdr:colOff>517708</xdr:colOff>
      <xdr:row>28</xdr:row>
      <xdr:rowOff>32988</xdr:rowOff>
    </xdr:from>
    <xdr:to>
      <xdr:col>6</xdr:col>
      <xdr:colOff>261918</xdr:colOff>
      <xdr:row>29</xdr:row>
      <xdr:rowOff>139668</xdr:rowOff>
    </xdr:to>
    <xdr:sp macro="" textlink="PivotTable1!O15">
      <xdr:nvSpPr>
        <xdr:cNvPr id="40" name="TextBox 39">
          <a:extLst>
            <a:ext uri="{FF2B5EF4-FFF2-40B4-BE49-F238E27FC236}">
              <a16:creationId xmlns:a16="http://schemas.microsoft.com/office/drawing/2014/main" id="{11BB88A1-167E-4579-AD30-3F1A619B20E0}"/>
            </a:ext>
          </a:extLst>
        </xdr:cNvPr>
        <xdr:cNvSpPr txBox="1"/>
      </xdr:nvSpPr>
      <xdr:spPr>
        <a:xfrm>
          <a:off x="3565708" y="5198546"/>
          <a:ext cx="963410" cy="291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14D12F4-242D-4FEF-920E-EFC4F683448B}" type="TxLink">
            <a:rPr lang="en-US" sz="16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-83.50%</a:t>
          </a:fld>
          <a:endParaRPr lang="en-IN" sz="16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137233</xdr:colOff>
      <xdr:row>28</xdr:row>
      <xdr:rowOff>32988</xdr:rowOff>
    </xdr:from>
    <xdr:to>
      <xdr:col>6</xdr:col>
      <xdr:colOff>400556</xdr:colOff>
      <xdr:row>29</xdr:row>
      <xdr:rowOff>139669</xdr:rowOff>
    </xdr:to>
    <xdr:sp macro="" textlink="PivotTable1!P15">
      <xdr:nvSpPr>
        <xdr:cNvPr id="45" name="TextBox 44">
          <a:extLst>
            <a:ext uri="{FF2B5EF4-FFF2-40B4-BE49-F238E27FC236}">
              <a16:creationId xmlns:a16="http://schemas.microsoft.com/office/drawing/2014/main" id="{DB3DCF1E-8835-4ADC-8372-800CC811B3C3}"/>
            </a:ext>
          </a:extLst>
        </xdr:cNvPr>
        <xdr:cNvSpPr txBox="1"/>
      </xdr:nvSpPr>
      <xdr:spPr>
        <a:xfrm>
          <a:off x="4404433" y="5198546"/>
          <a:ext cx="263323" cy="291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F99B3E6-0591-4308-B458-AC66B902DA69}" type="TxLink">
            <a:rPr lang="en-US" sz="1600">
              <a:solidFill>
                <a:srgbClr val="68B8B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▼</a:t>
          </a:fld>
          <a:endParaRPr lang="en-IN" sz="1600">
            <a:solidFill>
              <a:srgbClr val="68B8B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603414</xdr:colOff>
      <xdr:row>25</xdr:row>
      <xdr:rowOff>7937</xdr:rowOff>
    </xdr:from>
    <xdr:to>
      <xdr:col>8</xdr:col>
      <xdr:colOff>571665</xdr:colOff>
      <xdr:row>33</xdr:row>
      <xdr:rowOff>71437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8C67AFC1-591B-F834-65E4-610CE60C8EEC}"/>
            </a:ext>
          </a:extLst>
        </xdr:cNvPr>
        <xdr:cNvSpPr/>
      </xdr:nvSpPr>
      <xdr:spPr>
        <a:xfrm>
          <a:off x="4870614" y="4620042"/>
          <a:ext cx="1187451" cy="1539374"/>
        </a:xfrm>
        <a:prstGeom prst="roundRect">
          <a:avLst>
            <a:gd name="adj" fmla="val 8667"/>
          </a:avLst>
        </a:prstGeom>
        <a:gradFill flip="none" rotWithShape="1">
          <a:gsLst>
            <a:gs pos="100000">
              <a:schemeClr val="bg1">
                <a:lumMod val="50000"/>
              </a:schemeClr>
            </a:gs>
            <a:gs pos="26000">
              <a:schemeClr val="tx1">
                <a:lumMod val="95000"/>
                <a:lumOff val="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608710</xdr:colOff>
      <xdr:row>26</xdr:row>
      <xdr:rowOff>152401</xdr:rowOff>
    </xdr:from>
    <xdr:to>
      <xdr:col>9</xdr:col>
      <xdr:colOff>1754</xdr:colOff>
      <xdr:row>33</xdr:row>
      <xdr:rowOff>7938</xdr:rowOff>
    </xdr:to>
    <xdr:sp macro="" textlink="PivotTable1!O18">
      <xdr:nvSpPr>
        <xdr:cNvPr id="50" name="TextBox 49">
          <a:extLst>
            <a:ext uri="{FF2B5EF4-FFF2-40B4-BE49-F238E27FC236}">
              <a16:creationId xmlns:a16="http://schemas.microsoft.com/office/drawing/2014/main" id="{FC1FECCE-36CB-5BC5-F026-99CC6ECEA00D}"/>
            </a:ext>
          </a:extLst>
        </xdr:cNvPr>
        <xdr:cNvSpPr txBox="1"/>
      </xdr:nvSpPr>
      <xdr:spPr>
        <a:xfrm>
          <a:off x="4875910" y="4948990"/>
          <a:ext cx="1221844" cy="1146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F2E1BAC-A8E4-4464-A7AF-5B0186B7554D}" type="TxLink"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YoY change suggests room for improvement</a:t>
          </a:fld>
          <a:endParaRPr lang="en-IN" sz="140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348500</xdr:colOff>
      <xdr:row>24</xdr:row>
      <xdr:rowOff>41248</xdr:rowOff>
    </xdr:from>
    <xdr:to>
      <xdr:col>8</xdr:col>
      <xdr:colOff>218600</xdr:colOff>
      <xdr:row>26</xdr:row>
      <xdr:rowOff>151997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CDE24D9B-14E0-4A0B-9FA6-ED1448CF4981}"/>
            </a:ext>
          </a:extLst>
        </xdr:cNvPr>
        <xdr:cNvSpPr/>
      </xdr:nvSpPr>
      <xdr:spPr>
        <a:xfrm>
          <a:off x="5225300" y="4468869"/>
          <a:ext cx="479700" cy="479717"/>
        </a:xfrm>
        <a:prstGeom prst="ellipse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389539</xdr:colOff>
      <xdr:row>24</xdr:row>
      <xdr:rowOff>64852</xdr:rowOff>
    </xdr:from>
    <xdr:to>
      <xdr:col>8</xdr:col>
      <xdr:colOff>177560</xdr:colOff>
      <xdr:row>26</xdr:row>
      <xdr:rowOff>87958</xdr:rowOff>
    </xdr:to>
    <xdr:pic>
      <xdr:nvPicPr>
        <xdr:cNvPr id="54" name="Graphic 53" descr="Lightbulb with solid fill">
          <a:extLst>
            <a:ext uri="{FF2B5EF4-FFF2-40B4-BE49-F238E27FC236}">
              <a16:creationId xmlns:a16="http://schemas.microsoft.com/office/drawing/2014/main" id="{3316FF77-8BDA-8B43-3279-E15C8984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 bright="70000" contrast="-70000"/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266339" y="4492473"/>
          <a:ext cx="397621" cy="392074"/>
        </a:xfrm>
        <a:prstGeom prst="rect">
          <a:avLst/>
        </a:prstGeom>
      </xdr:spPr>
    </xdr:pic>
    <xdr:clientData/>
  </xdr:twoCellAnchor>
  <xdr:twoCellAnchor>
    <xdr:from>
      <xdr:col>10</xdr:col>
      <xdr:colOff>54669</xdr:colOff>
      <xdr:row>0</xdr:row>
      <xdr:rowOff>0</xdr:rowOff>
    </xdr:from>
    <xdr:to>
      <xdr:col>36</xdr:col>
      <xdr:colOff>21015</xdr:colOff>
      <xdr:row>38</xdr:row>
      <xdr:rowOff>59739</xdr:rowOff>
    </xdr:to>
    <xdr:sp macro="" textlink="">
      <xdr:nvSpPr>
        <xdr:cNvPr id="58" name="Arrow: Pentagon 57">
          <a:extLst>
            <a:ext uri="{FF2B5EF4-FFF2-40B4-BE49-F238E27FC236}">
              <a16:creationId xmlns:a16="http://schemas.microsoft.com/office/drawing/2014/main" id="{99445C04-CCA4-41DB-84A1-36DF2EC15F87}"/>
            </a:ext>
          </a:extLst>
        </xdr:cNvPr>
        <xdr:cNvSpPr/>
      </xdr:nvSpPr>
      <xdr:spPr>
        <a:xfrm flipH="1">
          <a:off x="6760269" y="0"/>
          <a:ext cx="15815946" cy="7070139"/>
        </a:xfrm>
        <a:prstGeom prst="homePlate">
          <a:avLst>
            <a:gd name="adj" fmla="val 22406"/>
          </a:avLst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39000">
              <a:srgbClr val="3B3B3B"/>
            </a:gs>
            <a:gs pos="71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9</xdr:col>
      <xdr:colOff>68809</xdr:colOff>
      <xdr:row>8</xdr:row>
      <xdr:rowOff>132263</xdr:rowOff>
    </xdr:from>
    <xdr:to>
      <xdr:col>14</xdr:col>
      <xdr:colOff>192989</xdr:colOff>
      <xdr:row>33</xdr:row>
      <xdr:rowOff>71888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E5E64139-3492-DA85-713B-E82468018525}"/>
            </a:ext>
          </a:extLst>
        </xdr:cNvPr>
        <xdr:cNvGrpSpPr/>
      </xdr:nvGrpSpPr>
      <xdr:grpSpPr>
        <a:xfrm>
          <a:off x="5555209" y="1608137"/>
          <a:ext cx="3172180" cy="4551730"/>
          <a:chOff x="6148767" y="1580063"/>
          <a:chExt cx="3172180" cy="4464000"/>
        </a:xfrm>
      </xdr:grpSpPr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DE69E4CE-1C5F-2540-F227-5BC84E0C58A9}"/>
              </a:ext>
            </a:extLst>
          </xdr:cNvPr>
          <xdr:cNvSpPr/>
        </xdr:nvSpPr>
        <xdr:spPr>
          <a:xfrm>
            <a:off x="6148767" y="1580063"/>
            <a:ext cx="3168000" cy="4464000"/>
          </a:xfrm>
          <a:prstGeom prst="roundRect">
            <a:avLst>
              <a:gd name="adj" fmla="val 6667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DBD4F577-1A40-CDF8-CDCA-5DF3A82F7143}"/>
              </a:ext>
            </a:extLst>
          </xdr:cNvPr>
          <xdr:cNvSpPr/>
        </xdr:nvSpPr>
        <xdr:spPr>
          <a:xfrm>
            <a:off x="6155267" y="1603840"/>
            <a:ext cx="3165680" cy="4420985"/>
          </a:xfrm>
          <a:prstGeom prst="roundRect">
            <a:avLst>
              <a:gd name="adj" fmla="val 6667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9</xdr:col>
      <xdr:colOff>88231</xdr:colOff>
      <xdr:row>22</xdr:row>
      <xdr:rowOff>48126</xdr:rowOff>
    </xdr:from>
    <xdr:to>
      <xdr:col>14</xdr:col>
      <xdr:colOff>192505</xdr:colOff>
      <xdr:row>33</xdr:row>
      <xdr:rowOff>104274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93C7435-2C3C-402B-A803-D519DB42A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120317</xdr:colOff>
      <xdr:row>20</xdr:row>
      <xdr:rowOff>136356</xdr:rowOff>
    </xdr:from>
    <xdr:to>
      <xdr:col>14</xdr:col>
      <xdr:colOff>144379</xdr:colOff>
      <xdr:row>24</xdr:row>
      <xdr:rowOff>144379</xdr:rowOff>
    </xdr:to>
    <xdr:sp macro="" textlink="PivotTable1!U22">
      <xdr:nvSpPr>
        <xdr:cNvPr id="62" name="TextBox 61">
          <a:extLst>
            <a:ext uri="{FF2B5EF4-FFF2-40B4-BE49-F238E27FC236}">
              <a16:creationId xmlns:a16="http://schemas.microsoft.com/office/drawing/2014/main" id="{1EB19ADF-3B7F-46C4-A91C-01B62B341AC7}"/>
            </a:ext>
          </a:extLst>
        </xdr:cNvPr>
        <xdr:cNvSpPr txBox="1"/>
      </xdr:nvSpPr>
      <xdr:spPr>
        <a:xfrm>
          <a:off x="6216317" y="3826040"/>
          <a:ext cx="3072062" cy="745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FD6AE7D-2654-48AD-AB10-3D767E85BE41}" type="TxLink">
            <a:rPr lang="en-US" sz="13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Focus on Highlited Weekdays: They Exceeded the 941 Passengers Average and Account for 49.4% of the Total Passengers</a:t>
          </a:fld>
          <a:endParaRPr lang="en-IN" sz="1300">
            <a:solidFill>
              <a:schemeClr val="tx2">
                <a:lumMod val="10000"/>
                <a:lumOff val="9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195625</xdr:colOff>
      <xdr:row>19</xdr:row>
      <xdr:rowOff>99780</xdr:rowOff>
    </xdr:from>
    <xdr:to>
      <xdr:col>9</xdr:col>
      <xdr:colOff>341213</xdr:colOff>
      <xdr:row>20</xdr:row>
      <xdr:rowOff>58978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9990D677-0F38-4E59-B599-720D24F594D9}"/>
            </a:ext>
          </a:extLst>
        </xdr:cNvPr>
        <xdr:cNvSpPr/>
      </xdr:nvSpPr>
      <xdr:spPr>
        <a:xfrm>
          <a:off x="6291625" y="3604980"/>
          <a:ext cx="145588" cy="14368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344905</xdr:colOff>
      <xdr:row>19</xdr:row>
      <xdr:rowOff>18462</xdr:rowOff>
    </xdr:from>
    <xdr:to>
      <xdr:col>14</xdr:col>
      <xdr:colOff>40105</xdr:colOff>
      <xdr:row>20</xdr:row>
      <xdr:rowOff>126746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73E9D60-324B-43A8-9378-1B819391D171}"/>
            </a:ext>
          </a:extLst>
        </xdr:cNvPr>
        <xdr:cNvSpPr txBox="1"/>
      </xdr:nvSpPr>
      <xdr:spPr>
        <a:xfrm>
          <a:off x="6440905" y="3523662"/>
          <a:ext cx="2743200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Rider Weekdays Distribution</a:t>
          </a:r>
          <a:endParaRPr lang="en-IN" sz="13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96253</xdr:colOff>
      <xdr:row>10</xdr:row>
      <xdr:rowOff>24064</xdr:rowOff>
    </xdr:from>
    <xdr:to>
      <xdr:col>14</xdr:col>
      <xdr:colOff>184484</xdr:colOff>
      <xdr:row>18</xdr:row>
      <xdr:rowOff>136358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88BE8303-7FDD-4694-861B-47E531773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195625</xdr:colOff>
      <xdr:row>9</xdr:row>
      <xdr:rowOff>59676</xdr:rowOff>
    </xdr:from>
    <xdr:to>
      <xdr:col>9</xdr:col>
      <xdr:colOff>341213</xdr:colOff>
      <xdr:row>10</xdr:row>
      <xdr:rowOff>18874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4907F89-83A1-4410-A99F-4D98BAE8B2E3}"/>
            </a:ext>
          </a:extLst>
        </xdr:cNvPr>
        <xdr:cNvSpPr/>
      </xdr:nvSpPr>
      <xdr:spPr>
        <a:xfrm>
          <a:off x="6291625" y="1720034"/>
          <a:ext cx="145588" cy="14368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360947</xdr:colOff>
      <xdr:row>8</xdr:row>
      <xdr:rowOff>165383</xdr:rowOff>
    </xdr:from>
    <xdr:to>
      <xdr:col>13</xdr:col>
      <xdr:colOff>328863</xdr:colOff>
      <xdr:row>10</xdr:row>
      <xdr:rowOff>89183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BDA706B-342E-47EE-8943-185B6AC21C7C}"/>
            </a:ext>
          </a:extLst>
        </xdr:cNvPr>
        <xdr:cNvSpPr txBox="1"/>
      </xdr:nvSpPr>
      <xdr:spPr>
        <a:xfrm>
          <a:off x="6456947" y="1641257"/>
          <a:ext cx="2406316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Rider Monthly Distribution</a:t>
          </a:r>
          <a:endParaRPr lang="en-IN" sz="13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144379</xdr:colOff>
      <xdr:row>18</xdr:row>
      <xdr:rowOff>114638</xdr:rowOff>
    </xdr:from>
    <xdr:to>
      <xdr:col>14</xdr:col>
      <xdr:colOff>88231</xdr:colOff>
      <xdr:row>18</xdr:row>
      <xdr:rowOff>160357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0D26F74-694A-41DE-A9D3-6366BBA9F896}"/>
            </a:ext>
          </a:extLst>
        </xdr:cNvPr>
        <xdr:cNvSpPr/>
      </xdr:nvSpPr>
      <xdr:spPr>
        <a:xfrm flipV="1">
          <a:off x="6240379" y="3435354"/>
          <a:ext cx="2991852" cy="45719"/>
        </a:xfrm>
        <a:prstGeom prst="rect">
          <a:avLst/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62000">
              <a:srgbClr val="3B3B3B"/>
            </a:gs>
            <a:gs pos="27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273102</xdr:colOff>
      <xdr:row>2</xdr:row>
      <xdr:rowOff>160712</xdr:rowOff>
    </xdr:from>
    <xdr:to>
      <xdr:col>19</xdr:col>
      <xdr:colOff>230122</xdr:colOff>
      <xdr:row>33</xdr:row>
      <xdr:rowOff>38850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5C0C3F8-D115-B0D7-B9C3-500D8BAFE420}"/>
            </a:ext>
          </a:extLst>
        </xdr:cNvPr>
        <xdr:cNvGrpSpPr/>
      </xdr:nvGrpSpPr>
      <xdr:grpSpPr>
        <a:xfrm>
          <a:off x="8807502" y="529680"/>
          <a:ext cx="3005020" cy="5597149"/>
          <a:chOff x="9451922" y="507555"/>
          <a:chExt cx="3060920" cy="5626337"/>
        </a:xfrm>
      </xdr:grpSpPr>
      <xdr:sp macro="" textlink="">
        <xdr:nvSpPr>
          <xdr:cNvPr id="72" name="Rectangle: Rounded Corners 71">
            <a:extLst>
              <a:ext uri="{FF2B5EF4-FFF2-40B4-BE49-F238E27FC236}">
                <a16:creationId xmlns:a16="http://schemas.microsoft.com/office/drawing/2014/main" id="{37FA7668-FC64-39D3-9C44-EE460018C5BE}"/>
              </a:ext>
            </a:extLst>
          </xdr:cNvPr>
          <xdr:cNvSpPr/>
        </xdr:nvSpPr>
        <xdr:spPr>
          <a:xfrm>
            <a:off x="9516607" y="528574"/>
            <a:ext cx="2985725" cy="5580000"/>
          </a:xfrm>
          <a:prstGeom prst="roundRect">
            <a:avLst>
              <a:gd name="adj" fmla="val 772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3" name="Rectangle: Rounded Corners 72">
            <a:extLst>
              <a:ext uri="{FF2B5EF4-FFF2-40B4-BE49-F238E27FC236}">
                <a16:creationId xmlns:a16="http://schemas.microsoft.com/office/drawing/2014/main" id="{9E6032CD-64ED-98E7-849E-7F0853AD0F02}"/>
              </a:ext>
            </a:extLst>
          </xdr:cNvPr>
          <xdr:cNvSpPr/>
        </xdr:nvSpPr>
        <xdr:spPr>
          <a:xfrm>
            <a:off x="9497312" y="548486"/>
            <a:ext cx="2985725" cy="5541671"/>
          </a:xfrm>
          <a:prstGeom prst="roundRect">
            <a:avLst>
              <a:gd name="adj" fmla="val 6667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517056</xdr:colOff>
      <xdr:row>2</xdr:row>
      <xdr:rowOff>130168</xdr:rowOff>
    </xdr:from>
    <xdr:to>
      <xdr:col>14</xdr:col>
      <xdr:colOff>244656</xdr:colOff>
      <xdr:row>7</xdr:row>
      <xdr:rowOff>179293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DCAE3B88-5FD4-90BA-1690-3B694FC71730}"/>
            </a:ext>
          </a:extLst>
        </xdr:cNvPr>
        <xdr:cNvSpPr/>
      </xdr:nvSpPr>
      <xdr:spPr>
        <a:xfrm>
          <a:off x="1126656" y="499136"/>
          <a:ext cx="8262000" cy="971546"/>
        </a:xfrm>
        <a:prstGeom prst="roundRect">
          <a:avLst>
            <a:gd name="adj" fmla="val 11877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526581</xdr:colOff>
      <xdr:row>2</xdr:row>
      <xdr:rowOff>139693</xdr:rowOff>
    </xdr:from>
    <xdr:to>
      <xdr:col>14</xdr:col>
      <xdr:colOff>224588</xdr:colOff>
      <xdr:row>7</xdr:row>
      <xdr:rowOff>157692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D4C88FD-AA45-84E0-53B1-E5931AF92436}"/>
            </a:ext>
          </a:extLst>
        </xdr:cNvPr>
        <xdr:cNvSpPr/>
      </xdr:nvSpPr>
      <xdr:spPr>
        <a:xfrm>
          <a:off x="1136181" y="508661"/>
          <a:ext cx="8232407" cy="940420"/>
        </a:xfrm>
        <a:prstGeom prst="roundRect">
          <a:avLst>
            <a:gd name="adj" fmla="val 13975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540128</xdr:colOff>
      <xdr:row>3</xdr:row>
      <xdr:rowOff>40950</xdr:rowOff>
    </xdr:from>
    <xdr:to>
      <xdr:col>3</xdr:col>
      <xdr:colOff>331328</xdr:colOff>
      <xdr:row>4</xdr:row>
      <xdr:rowOff>144466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3E2648-F328-35F4-4C6C-C565A9CF438B}"/>
            </a:ext>
          </a:extLst>
        </xdr:cNvPr>
        <xdr:cNvSpPr txBox="1"/>
      </xdr:nvSpPr>
      <xdr:spPr>
        <a:xfrm>
          <a:off x="1149728" y="594403"/>
          <a:ext cx="1620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Passengers</a:t>
          </a:r>
        </a:p>
      </xdr:txBody>
    </xdr:sp>
    <xdr:clientData/>
  </xdr:twoCellAnchor>
  <xdr:twoCellAnchor>
    <xdr:from>
      <xdr:col>4</xdr:col>
      <xdr:colOff>267991</xdr:colOff>
      <xdr:row>3</xdr:row>
      <xdr:rowOff>40950</xdr:rowOff>
    </xdr:from>
    <xdr:to>
      <xdr:col>7</xdr:col>
      <xdr:colOff>275191</xdr:colOff>
      <xdr:row>4</xdr:row>
      <xdr:rowOff>142683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47FF7E-74F2-4C98-816D-EE681FD7F54E}"/>
            </a:ext>
          </a:extLst>
        </xdr:cNvPr>
        <xdr:cNvSpPr txBox="1"/>
      </xdr:nvSpPr>
      <xdr:spPr>
        <a:xfrm>
          <a:off x="3315991" y="594403"/>
          <a:ext cx="1836000" cy="286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Avg.</a:t>
          </a:r>
          <a:r>
            <a:rPr lang="en-IN" sz="14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Riders per Trip</a:t>
          </a:r>
          <a:endParaRPr lang="en-IN" sz="14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211854</xdr:colOff>
      <xdr:row>3</xdr:row>
      <xdr:rowOff>40950</xdr:rowOff>
    </xdr:from>
    <xdr:to>
      <xdr:col>10</xdr:col>
      <xdr:colOff>360654</xdr:colOff>
      <xdr:row>4</xdr:row>
      <xdr:rowOff>142683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D82D6A-E0D8-4C2D-9D43-E99E5E2B64EF}"/>
            </a:ext>
          </a:extLst>
        </xdr:cNvPr>
        <xdr:cNvSpPr txBox="1"/>
      </xdr:nvSpPr>
      <xdr:spPr>
        <a:xfrm>
          <a:off x="5698254" y="594403"/>
          <a:ext cx="1368000" cy="286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Busiest Route</a:t>
          </a:r>
        </a:p>
      </xdr:txBody>
    </xdr:sp>
    <xdr:clientData/>
  </xdr:twoCellAnchor>
  <xdr:twoCellAnchor>
    <xdr:from>
      <xdr:col>11</xdr:col>
      <xdr:colOff>297317</xdr:colOff>
      <xdr:row>3</xdr:row>
      <xdr:rowOff>24863</xdr:rowOff>
    </xdr:from>
    <xdr:to>
      <xdr:col>14</xdr:col>
      <xdr:colOff>160517</xdr:colOff>
      <xdr:row>4</xdr:row>
      <xdr:rowOff>126596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72C98C-74CF-428F-AC14-735E71785DEE}"/>
            </a:ext>
          </a:extLst>
        </xdr:cNvPr>
        <xdr:cNvSpPr txBox="1"/>
      </xdr:nvSpPr>
      <xdr:spPr>
        <a:xfrm>
          <a:off x="7612517" y="578316"/>
          <a:ext cx="1692000" cy="286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Least</a:t>
          </a:r>
          <a:r>
            <a:rPr lang="en-IN" sz="14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Busy Route</a:t>
          </a:r>
          <a:endParaRPr lang="en-IN" sz="14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267502</xdr:colOff>
      <xdr:row>5</xdr:row>
      <xdr:rowOff>116832</xdr:rowOff>
    </xdr:from>
    <xdr:to>
      <xdr:col>3</xdr:col>
      <xdr:colOff>38902</xdr:colOff>
      <xdr:row>7</xdr:row>
      <xdr:rowOff>40950</xdr:rowOff>
    </xdr:to>
    <xdr:sp macro="" textlink="PivotTable1!B15">
      <xdr:nvSpPr>
        <xdr:cNvPr id="8" name="TextBox 7">
          <a:extLst>
            <a:ext uri="{FF2B5EF4-FFF2-40B4-BE49-F238E27FC236}">
              <a16:creationId xmlns:a16="http://schemas.microsoft.com/office/drawing/2014/main" id="{2640D88C-5AEB-4C06-8AC7-1203621D2D94}"/>
            </a:ext>
          </a:extLst>
        </xdr:cNvPr>
        <xdr:cNvSpPr txBox="1"/>
      </xdr:nvSpPr>
      <xdr:spPr>
        <a:xfrm>
          <a:off x="1486702" y="1039253"/>
          <a:ext cx="990600" cy="293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8B3D09-BE54-45CE-A5EB-1FF7C9C8F849}" type="TxLink">
            <a:rPr lang="en-US" sz="2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6587</a:t>
          </a:fld>
          <a:endParaRPr lang="en-IN" sz="24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185810</xdr:colOff>
      <xdr:row>5</xdr:row>
      <xdr:rowOff>118685</xdr:rowOff>
    </xdr:from>
    <xdr:to>
      <xdr:col>6</xdr:col>
      <xdr:colOff>135191</xdr:colOff>
      <xdr:row>7</xdr:row>
      <xdr:rowOff>39098</xdr:rowOff>
    </xdr:to>
    <xdr:sp macro="" textlink="PivotTable1!C15">
      <xdr:nvSpPr>
        <xdr:cNvPr id="9" name="TextBox 8">
          <a:extLst>
            <a:ext uri="{FF2B5EF4-FFF2-40B4-BE49-F238E27FC236}">
              <a16:creationId xmlns:a16="http://schemas.microsoft.com/office/drawing/2014/main" id="{A23E4038-BC60-4A93-8084-C07FC5B94A7D}"/>
            </a:ext>
          </a:extLst>
        </xdr:cNvPr>
        <xdr:cNvSpPr txBox="1"/>
      </xdr:nvSpPr>
      <xdr:spPr>
        <a:xfrm>
          <a:off x="3843410" y="1041106"/>
          <a:ext cx="558981" cy="289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E6093FD-B43E-4F9D-9F83-F4927A7D7300}" type="TxLink">
            <a:rPr lang="en-US" sz="24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33</a:t>
          </a:fld>
          <a:endParaRPr lang="en-IN" sz="24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578880</xdr:colOff>
      <xdr:row>5</xdr:row>
      <xdr:rowOff>116832</xdr:rowOff>
    </xdr:from>
    <xdr:to>
      <xdr:col>11</xdr:col>
      <xdr:colOff>153240</xdr:colOff>
      <xdr:row>7</xdr:row>
      <xdr:rowOff>40950</xdr:rowOff>
    </xdr:to>
    <xdr:sp macro="" textlink="PivotTable1!B19">
      <xdr:nvSpPr>
        <xdr:cNvPr id="19" name="TextBox 18">
          <a:extLst>
            <a:ext uri="{FF2B5EF4-FFF2-40B4-BE49-F238E27FC236}">
              <a16:creationId xmlns:a16="http://schemas.microsoft.com/office/drawing/2014/main" id="{DE2F7850-A05C-4F5B-9A6C-FFAFAACCCD39}"/>
            </a:ext>
          </a:extLst>
        </xdr:cNvPr>
        <xdr:cNvSpPr txBox="1"/>
      </xdr:nvSpPr>
      <xdr:spPr>
        <a:xfrm>
          <a:off x="5455680" y="1039253"/>
          <a:ext cx="2012760" cy="293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06E6953-95FF-4B16-8C91-2446685E337D}" type="TxLink">
            <a:rPr lang="en-US" sz="16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East-West Express</a:t>
          </a:fld>
          <a:endParaRPr lang="en-IN" sz="16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364323</xdr:colOff>
      <xdr:row>5</xdr:row>
      <xdr:rowOff>116832</xdr:rowOff>
    </xdr:from>
    <xdr:to>
      <xdr:col>14</xdr:col>
      <xdr:colOff>93511</xdr:colOff>
      <xdr:row>7</xdr:row>
      <xdr:rowOff>40950</xdr:rowOff>
    </xdr:to>
    <xdr:sp macro="" textlink="PivotTable1!B23">
      <xdr:nvSpPr>
        <xdr:cNvPr id="20" name="TextBox 19">
          <a:extLst>
            <a:ext uri="{FF2B5EF4-FFF2-40B4-BE49-F238E27FC236}">
              <a16:creationId xmlns:a16="http://schemas.microsoft.com/office/drawing/2014/main" id="{09A73B74-3088-493B-9028-CDCA8977E374}"/>
            </a:ext>
          </a:extLst>
        </xdr:cNvPr>
        <xdr:cNvSpPr txBox="1"/>
      </xdr:nvSpPr>
      <xdr:spPr>
        <a:xfrm>
          <a:off x="7679523" y="1039253"/>
          <a:ext cx="1557988" cy="293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568295-371A-49DD-AF13-785069D166EC}" type="TxLink">
            <a:rPr lang="en-US" sz="160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South Line</a:t>
          </a:fld>
          <a:endParaRPr lang="en-IN" sz="1600">
            <a:solidFill>
              <a:schemeClr val="bg1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602782</xdr:colOff>
      <xdr:row>4</xdr:row>
      <xdr:rowOff>181214</xdr:rowOff>
    </xdr:from>
    <xdr:to>
      <xdr:col>14</xdr:col>
      <xdr:colOff>104274</xdr:colOff>
      <xdr:row>5</xdr:row>
      <xdr:rowOff>42449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1025A3B-89FE-0F94-BF59-02DCBB2729E7}"/>
            </a:ext>
          </a:extLst>
        </xdr:cNvPr>
        <xdr:cNvSpPr/>
      </xdr:nvSpPr>
      <xdr:spPr>
        <a:xfrm>
          <a:off x="1212382" y="919151"/>
          <a:ext cx="8035892" cy="45719"/>
        </a:xfrm>
        <a:prstGeom prst="rect">
          <a:avLst/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62000">
              <a:srgbClr val="3B3B3B"/>
            </a:gs>
            <a:gs pos="27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802</xdr:colOff>
      <xdr:row>4</xdr:row>
      <xdr:rowOff>132073</xdr:rowOff>
    </xdr:from>
    <xdr:to>
      <xdr:col>2</xdr:col>
      <xdr:colOff>144802</xdr:colOff>
      <xdr:row>5</xdr:row>
      <xdr:rowOff>93192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3BD6365-498C-4992-25F1-DD12E767BD30}"/>
            </a:ext>
          </a:extLst>
        </xdr:cNvPr>
        <xdr:cNvSpPr/>
      </xdr:nvSpPr>
      <xdr:spPr>
        <a:xfrm>
          <a:off x="1829602" y="870010"/>
          <a:ext cx="144000" cy="14560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403857</xdr:colOff>
      <xdr:row>4</xdr:row>
      <xdr:rowOff>132073</xdr:rowOff>
    </xdr:from>
    <xdr:to>
      <xdr:col>5</xdr:col>
      <xdr:colOff>547857</xdr:colOff>
      <xdr:row>5</xdr:row>
      <xdr:rowOff>93192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5C4B5E4-E35F-4078-81AF-0348F2073FEF}"/>
            </a:ext>
          </a:extLst>
        </xdr:cNvPr>
        <xdr:cNvSpPr/>
      </xdr:nvSpPr>
      <xdr:spPr>
        <a:xfrm>
          <a:off x="4061457" y="870010"/>
          <a:ext cx="144000" cy="14560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214158</xdr:colOff>
      <xdr:row>4</xdr:row>
      <xdr:rowOff>132073</xdr:rowOff>
    </xdr:from>
    <xdr:to>
      <xdr:col>9</xdr:col>
      <xdr:colOff>358158</xdr:colOff>
      <xdr:row>5</xdr:row>
      <xdr:rowOff>93192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8068068-EDC6-4E1C-A2ED-996B12204E84}"/>
            </a:ext>
          </a:extLst>
        </xdr:cNvPr>
        <xdr:cNvSpPr/>
      </xdr:nvSpPr>
      <xdr:spPr>
        <a:xfrm>
          <a:off x="6310158" y="870010"/>
          <a:ext cx="144000" cy="14560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535806</xdr:colOff>
      <xdr:row>4</xdr:row>
      <xdr:rowOff>132073</xdr:rowOff>
    </xdr:from>
    <xdr:to>
      <xdr:col>13</xdr:col>
      <xdr:colOff>70206</xdr:colOff>
      <xdr:row>5</xdr:row>
      <xdr:rowOff>93192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9AD39B7-30EF-4A1F-BC2E-34F4676BA79C}"/>
            </a:ext>
          </a:extLst>
        </xdr:cNvPr>
        <xdr:cNvSpPr/>
      </xdr:nvSpPr>
      <xdr:spPr>
        <a:xfrm>
          <a:off x="8460606" y="870010"/>
          <a:ext cx="144000" cy="14560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561473</xdr:colOff>
      <xdr:row>4</xdr:row>
      <xdr:rowOff>176463</xdr:rowOff>
    </xdr:from>
    <xdr:to>
      <xdr:col>19</xdr:col>
      <xdr:colOff>272715</xdr:colOff>
      <xdr:row>10</xdr:row>
      <xdr:rowOff>176463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CC28F694-D666-8A1E-A9EF-9D8D1E3D551D}"/>
            </a:ext>
          </a:extLst>
        </xdr:cNvPr>
        <xdr:cNvGrpSpPr/>
      </xdr:nvGrpSpPr>
      <xdr:grpSpPr>
        <a:xfrm>
          <a:off x="10315073" y="914400"/>
          <a:ext cx="1540042" cy="1106905"/>
          <a:chOff x="10828421" y="890337"/>
          <a:chExt cx="1532021" cy="1106905"/>
        </a:xfrm>
      </xdr:grpSpPr>
      <xdr:graphicFrame macro="">
        <xdr:nvGraphicFramePr>
          <xdr:cNvPr id="83" name="Chart 82">
            <a:extLst>
              <a:ext uri="{FF2B5EF4-FFF2-40B4-BE49-F238E27FC236}">
                <a16:creationId xmlns:a16="http://schemas.microsoft.com/office/drawing/2014/main" id="{D6C71889-051B-4634-8BF1-D1B2768209B8}"/>
              </a:ext>
            </a:extLst>
          </xdr:cNvPr>
          <xdr:cNvGraphicFramePr>
            <a:graphicFrameLocks/>
          </xdr:cNvGraphicFramePr>
        </xdr:nvGraphicFramePr>
        <xdr:xfrm>
          <a:off x="10828421" y="890337"/>
          <a:ext cx="1532021" cy="11069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PivotTable1!AM9">
        <xdr:nvSpPr>
          <xdr:cNvPr id="84" name="TextBox 83">
            <a:extLst>
              <a:ext uri="{FF2B5EF4-FFF2-40B4-BE49-F238E27FC236}">
                <a16:creationId xmlns:a16="http://schemas.microsoft.com/office/drawing/2014/main" id="{61097193-8D9A-4DC9-9BBC-43C4FC15A797}"/>
              </a:ext>
            </a:extLst>
          </xdr:cNvPr>
          <xdr:cNvSpPr txBox="1"/>
        </xdr:nvSpPr>
        <xdr:spPr>
          <a:xfrm>
            <a:off x="11294968" y="1299099"/>
            <a:ext cx="558981" cy="2893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4C04DAD-C912-49E4-9163-65C545C0BE6D}" type="TxLink">
              <a:rPr lang="en-US" sz="1400" b="1">
                <a:solidFill>
                  <a:srgbClr val="68B8B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35%</a:t>
            </a:fld>
            <a:endParaRPr lang="en-IN" sz="1400" b="1">
              <a:solidFill>
                <a:srgbClr val="68B8B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15</xdr:col>
      <xdr:colOff>465220</xdr:colOff>
      <xdr:row>12</xdr:row>
      <xdr:rowOff>96253</xdr:rowOff>
    </xdr:from>
    <xdr:to>
      <xdr:col>18</xdr:col>
      <xdr:colOff>168441</xdr:colOff>
      <xdr:row>18</xdr:row>
      <xdr:rowOff>96253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99D18FB-06EA-5B36-09B8-FAEEAD661C45}"/>
            </a:ext>
          </a:extLst>
        </xdr:cNvPr>
        <xdr:cNvGrpSpPr/>
      </xdr:nvGrpSpPr>
      <xdr:grpSpPr>
        <a:xfrm>
          <a:off x="9609220" y="2310064"/>
          <a:ext cx="1532021" cy="1106905"/>
          <a:chOff x="10780294" y="3400926"/>
          <a:chExt cx="1532021" cy="1106905"/>
        </a:xfrm>
      </xdr:grpSpPr>
      <xdr:graphicFrame macro="">
        <xdr:nvGraphicFramePr>
          <xdr:cNvPr id="89" name="Chart 88">
            <a:extLst>
              <a:ext uri="{FF2B5EF4-FFF2-40B4-BE49-F238E27FC236}">
                <a16:creationId xmlns:a16="http://schemas.microsoft.com/office/drawing/2014/main" id="{827AAB60-DB9E-F8A0-42B8-FD314BC86A02}"/>
              </a:ext>
            </a:extLst>
          </xdr:cNvPr>
          <xdr:cNvGraphicFramePr>
            <a:graphicFrameLocks/>
          </xdr:cNvGraphicFramePr>
        </xdr:nvGraphicFramePr>
        <xdr:xfrm>
          <a:off x="10780294" y="3400926"/>
          <a:ext cx="1532021" cy="11069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PivotTable1!AM10">
        <xdr:nvSpPr>
          <xdr:cNvPr id="90" name="TextBox 89">
            <a:extLst>
              <a:ext uri="{FF2B5EF4-FFF2-40B4-BE49-F238E27FC236}">
                <a16:creationId xmlns:a16="http://schemas.microsoft.com/office/drawing/2014/main" id="{4FC90734-0866-0FF8-0554-ACA0499D5D09}"/>
              </a:ext>
            </a:extLst>
          </xdr:cNvPr>
          <xdr:cNvSpPr txBox="1"/>
        </xdr:nvSpPr>
        <xdr:spPr>
          <a:xfrm>
            <a:off x="11246841" y="3809688"/>
            <a:ext cx="558981" cy="2893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83F221F-90EB-4A71-BE02-3AA55CFBBD51}" type="TxLink">
              <a:rPr lang="en-US" sz="1400" b="1">
                <a:solidFill>
                  <a:schemeClr val="tx2">
                    <a:lumMod val="90000"/>
                    <a:lumOff val="1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23%</a:t>
            </a:fld>
            <a:endParaRPr lang="en-IN" sz="1400" b="1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14</xdr:col>
      <xdr:colOff>272717</xdr:colOff>
      <xdr:row>4</xdr:row>
      <xdr:rowOff>176463</xdr:rowOff>
    </xdr:from>
    <xdr:to>
      <xdr:col>16</xdr:col>
      <xdr:colOff>561475</xdr:colOff>
      <xdr:row>10</xdr:row>
      <xdr:rowOff>176463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BA35FFA5-C258-5A83-EBDD-FAAA1CEF2F9C}"/>
            </a:ext>
          </a:extLst>
        </xdr:cNvPr>
        <xdr:cNvGrpSpPr/>
      </xdr:nvGrpSpPr>
      <xdr:grpSpPr>
        <a:xfrm>
          <a:off x="8807117" y="914400"/>
          <a:ext cx="1507958" cy="1106905"/>
          <a:chOff x="9577137" y="2109538"/>
          <a:chExt cx="1532021" cy="1106905"/>
        </a:xfrm>
      </xdr:grpSpPr>
      <xdr:graphicFrame macro="">
        <xdr:nvGraphicFramePr>
          <xdr:cNvPr id="92" name="Chart 91">
            <a:extLst>
              <a:ext uri="{FF2B5EF4-FFF2-40B4-BE49-F238E27FC236}">
                <a16:creationId xmlns:a16="http://schemas.microsoft.com/office/drawing/2014/main" id="{6E3BC6FA-EF53-9861-9C3F-B5288DCCCD64}"/>
              </a:ext>
            </a:extLst>
          </xdr:cNvPr>
          <xdr:cNvGraphicFramePr>
            <a:graphicFrameLocks/>
          </xdr:cNvGraphicFramePr>
        </xdr:nvGraphicFramePr>
        <xdr:xfrm>
          <a:off x="9577137" y="2109538"/>
          <a:ext cx="1532021" cy="11069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PivotTable1!AM11">
        <xdr:nvSpPr>
          <xdr:cNvPr id="93" name="TextBox 92">
            <a:extLst>
              <a:ext uri="{FF2B5EF4-FFF2-40B4-BE49-F238E27FC236}">
                <a16:creationId xmlns:a16="http://schemas.microsoft.com/office/drawing/2014/main" id="{84048B58-DD2C-FAC9-9F3C-BFC191991287}"/>
              </a:ext>
            </a:extLst>
          </xdr:cNvPr>
          <xdr:cNvSpPr txBox="1"/>
        </xdr:nvSpPr>
        <xdr:spPr>
          <a:xfrm>
            <a:off x="10043684" y="2518300"/>
            <a:ext cx="558981" cy="2893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C8FD1FC-4A61-4373-B4AA-8358B28BB3BA}" type="TxLink">
              <a:rPr lang="en-US" sz="1400" b="1">
                <a:solidFill>
                  <a:schemeClr val="tx2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43%</a:t>
            </a:fld>
            <a:endParaRPr lang="en-IN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14</xdr:col>
      <xdr:colOff>316835</xdr:colOff>
      <xdr:row>10</xdr:row>
      <xdr:rowOff>26484</xdr:rowOff>
    </xdr:from>
    <xdr:to>
      <xdr:col>16</xdr:col>
      <xdr:colOff>537412</xdr:colOff>
      <xdr:row>11</xdr:row>
      <xdr:rowOff>134768</xdr:rowOff>
    </xdr:to>
    <xdr:sp macro="" textlink="PivotTable1!AL11">
      <xdr:nvSpPr>
        <xdr:cNvPr id="49" name="TextBox 48">
          <a:extLst>
            <a:ext uri="{FF2B5EF4-FFF2-40B4-BE49-F238E27FC236}">
              <a16:creationId xmlns:a16="http://schemas.microsoft.com/office/drawing/2014/main" id="{5EB5F42F-F1DA-4857-8FC4-089EA44DC5ED}"/>
            </a:ext>
          </a:extLst>
        </xdr:cNvPr>
        <xdr:cNvSpPr txBox="1"/>
      </xdr:nvSpPr>
      <xdr:spPr>
        <a:xfrm>
          <a:off x="9460835" y="1871326"/>
          <a:ext cx="143977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326A651-4374-46D0-8B14-EDB1332A3821}" type="TxLink">
            <a:rPr lang="en-US" sz="13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pPr algn="l"/>
            <a:t>Well-Utilized</a:t>
          </a:fld>
          <a:endParaRPr lang="en-IN" sz="1300">
            <a:solidFill>
              <a:schemeClr val="tx2">
                <a:lumMod val="50000"/>
                <a:lumOff val="50000"/>
              </a:schemeClr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565488</xdr:colOff>
      <xdr:row>17</xdr:row>
      <xdr:rowOff>146800</xdr:rowOff>
    </xdr:from>
    <xdr:to>
      <xdr:col>18</xdr:col>
      <xdr:colOff>176465</xdr:colOff>
      <xdr:row>19</xdr:row>
      <xdr:rowOff>70600</xdr:rowOff>
    </xdr:to>
    <xdr:sp macro="" textlink="PivotTable1!AL10">
      <xdr:nvSpPr>
        <xdr:cNvPr id="53" name="TextBox 52">
          <a:extLst>
            <a:ext uri="{FF2B5EF4-FFF2-40B4-BE49-F238E27FC236}">
              <a16:creationId xmlns:a16="http://schemas.microsoft.com/office/drawing/2014/main" id="{EC341395-C622-4671-B08D-6824DD0382A6}"/>
            </a:ext>
          </a:extLst>
        </xdr:cNvPr>
        <xdr:cNvSpPr txBox="1"/>
      </xdr:nvSpPr>
      <xdr:spPr>
        <a:xfrm>
          <a:off x="10319088" y="3283032"/>
          <a:ext cx="143977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E347880-F86F-4698-A240-DAAF80DCCDE5}" type="TxLink">
            <a:rPr lang="en-US" sz="1300" b="0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rial Rounded MT Bold" panose="020F0704030504030204" pitchFamily="34" charset="0"/>
              <a:ea typeface="+mn-ea"/>
              <a:cs typeface="Arial" panose="020B0604020202020204" pitchFamily="34" charset="0"/>
            </a:rPr>
            <a:pPr marL="0" indent="0" algn="l"/>
            <a:t>Under-Utilized</a:t>
          </a:fld>
          <a:endParaRPr lang="en-IN" sz="1300" b="0" i="0" u="none" strike="noStrike">
            <a:solidFill>
              <a:schemeClr val="tx2">
                <a:lumMod val="90000"/>
                <a:lumOff val="10000"/>
              </a:schemeClr>
            </a:solidFill>
            <a:latin typeface="Arial Rounded MT Bold" panose="020F070403050403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76204</xdr:colOff>
      <xdr:row>10</xdr:row>
      <xdr:rowOff>26484</xdr:rowOff>
    </xdr:from>
    <xdr:to>
      <xdr:col>19</xdr:col>
      <xdr:colOff>296781</xdr:colOff>
      <xdr:row>11</xdr:row>
      <xdr:rowOff>134768</xdr:rowOff>
    </xdr:to>
    <xdr:sp macro="" textlink="PivotTable1!AL9">
      <xdr:nvSpPr>
        <xdr:cNvPr id="56" name="TextBox 55">
          <a:extLst>
            <a:ext uri="{FF2B5EF4-FFF2-40B4-BE49-F238E27FC236}">
              <a16:creationId xmlns:a16="http://schemas.microsoft.com/office/drawing/2014/main" id="{B738A60E-619B-422C-9618-1B6E7408C6D5}"/>
            </a:ext>
          </a:extLst>
        </xdr:cNvPr>
        <xdr:cNvSpPr txBox="1"/>
      </xdr:nvSpPr>
      <xdr:spPr>
        <a:xfrm>
          <a:off x="11049004" y="1871326"/>
          <a:ext cx="143977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6D3535-58CD-45F9-BF61-8E0C5864CCDA}" type="TxLink">
            <a:rPr lang="en-US" sz="1300" b="0" i="0" u="none" strike="noStrike">
              <a:solidFill>
                <a:srgbClr val="68B8B0"/>
              </a:solidFill>
              <a:latin typeface="Arial Rounded MT Bold" panose="020F0704030504030204" pitchFamily="34" charset="0"/>
              <a:ea typeface="+mn-ea"/>
              <a:cs typeface="Arial" panose="020B0604020202020204" pitchFamily="34" charset="0"/>
            </a:rPr>
            <a:pPr marL="0" indent="0" algn="l"/>
            <a:t>Over-Utilized</a:t>
          </a:fld>
          <a:endParaRPr lang="en-IN" sz="1300" b="0" i="0" u="none" strike="noStrike">
            <a:solidFill>
              <a:srgbClr val="68B8B0"/>
            </a:solidFill>
            <a:latin typeface="Arial Rounded MT Bold" panose="020F070403050403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316835</xdr:colOff>
      <xdr:row>11</xdr:row>
      <xdr:rowOff>66591</xdr:rowOff>
    </xdr:from>
    <xdr:to>
      <xdr:col>17</xdr:col>
      <xdr:colOff>0</xdr:colOff>
      <xdr:row>12</xdr:row>
      <xdr:rowOff>174874</xdr:rowOff>
    </xdr:to>
    <xdr:sp macro="" textlink="PivotTable1!AP11">
      <xdr:nvSpPr>
        <xdr:cNvPr id="59" name="TextBox 58">
          <a:extLst>
            <a:ext uri="{FF2B5EF4-FFF2-40B4-BE49-F238E27FC236}">
              <a16:creationId xmlns:a16="http://schemas.microsoft.com/office/drawing/2014/main" id="{EFDAC36D-AF13-484D-9919-D490E270AA76}"/>
            </a:ext>
          </a:extLst>
        </xdr:cNvPr>
        <xdr:cNvSpPr txBox="1"/>
      </xdr:nvSpPr>
      <xdr:spPr>
        <a:xfrm>
          <a:off x="9460835" y="2095917"/>
          <a:ext cx="1511965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C1B4A7C-AF73-4FA7-806C-949B4F4CA04D}" type="TxLink">
            <a:rPr lang="en-US" sz="13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Arial Rounded MT Bold" panose="020F0704030504030204" pitchFamily="34" charset="0"/>
              <a:ea typeface="+mn-ea"/>
              <a:cs typeface="Arial" panose="020B0604020202020204" pitchFamily="34" charset="0"/>
            </a:rPr>
            <a:pPr marL="0" indent="0" algn="l"/>
            <a:t>36 Total Buses</a:t>
          </a:fld>
          <a:endParaRPr lang="en-IN" sz="1300" b="0" i="0" u="none" strike="noStrike">
            <a:solidFill>
              <a:schemeClr val="tx2">
                <a:lumMod val="50000"/>
                <a:lumOff val="50000"/>
              </a:schemeClr>
            </a:solidFill>
            <a:latin typeface="Arial Rounded MT Bold" panose="020F070403050403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573510</xdr:colOff>
      <xdr:row>11</xdr:row>
      <xdr:rowOff>66591</xdr:rowOff>
    </xdr:from>
    <xdr:to>
      <xdr:col>19</xdr:col>
      <xdr:colOff>272717</xdr:colOff>
      <xdr:row>12</xdr:row>
      <xdr:rowOff>174874</xdr:rowOff>
    </xdr:to>
    <xdr:sp macro="" textlink="PivotTable1!AP9">
      <xdr:nvSpPr>
        <xdr:cNvPr id="60" name="TextBox 59">
          <a:extLst>
            <a:ext uri="{FF2B5EF4-FFF2-40B4-BE49-F238E27FC236}">
              <a16:creationId xmlns:a16="http://schemas.microsoft.com/office/drawing/2014/main" id="{8A012843-DFDE-49E3-8134-F33BD14EFED0}"/>
            </a:ext>
          </a:extLst>
        </xdr:cNvPr>
        <xdr:cNvSpPr txBox="1"/>
      </xdr:nvSpPr>
      <xdr:spPr>
        <a:xfrm>
          <a:off x="10936710" y="2095917"/>
          <a:ext cx="152800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DC1553-BA0F-42E8-83EB-242B222AC7D1}" type="TxLink">
            <a:rPr lang="en-US" sz="1300" b="0" i="0" u="none" strike="noStrike">
              <a:solidFill>
                <a:srgbClr val="68B8B0"/>
              </a:solidFill>
              <a:latin typeface="Arial Rounded MT Bold" panose="020F0704030504030204" pitchFamily="34" charset="0"/>
              <a:ea typeface="+mn-ea"/>
              <a:cs typeface="Arial" panose="020B0604020202020204" pitchFamily="34" charset="0"/>
            </a:rPr>
            <a:pPr marL="0" indent="0" algn="l"/>
            <a:t>29 Total Buses</a:t>
          </a:fld>
          <a:endParaRPr lang="en-IN" sz="1300" b="0" i="0" u="none" strike="noStrike">
            <a:solidFill>
              <a:srgbClr val="68B8B0"/>
            </a:solidFill>
            <a:latin typeface="Arial Rounded MT Bold" panose="020F070403050403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565488</xdr:colOff>
      <xdr:row>18</xdr:row>
      <xdr:rowOff>154822</xdr:rowOff>
    </xdr:from>
    <xdr:to>
      <xdr:col>18</xdr:col>
      <xdr:colOff>176465</xdr:colOff>
      <xdr:row>20</xdr:row>
      <xdr:rowOff>78622</xdr:rowOff>
    </xdr:to>
    <xdr:sp macro="" textlink="PivotTable1!AP10">
      <xdr:nvSpPr>
        <xdr:cNvPr id="61" name="TextBox 60">
          <a:extLst>
            <a:ext uri="{FF2B5EF4-FFF2-40B4-BE49-F238E27FC236}">
              <a16:creationId xmlns:a16="http://schemas.microsoft.com/office/drawing/2014/main" id="{39706790-471E-451E-A667-23651A2A99D1}"/>
            </a:ext>
          </a:extLst>
        </xdr:cNvPr>
        <xdr:cNvSpPr txBox="1"/>
      </xdr:nvSpPr>
      <xdr:spPr>
        <a:xfrm>
          <a:off x="10319088" y="3475538"/>
          <a:ext cx="143977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AC8AE-BA8F-4FDB-AF3E-A31136FEDD00}" type="TxLink">
            <a:rPr lang="en-US" sz="1300" b="0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rial Rounded MT Bold" panose="020F0704030504030204" pitchFamily="34" charset="0"/>
              <a:ea typeface="+mn-ea"/>
              <a:cs typeface="Arial" panose="020B0604020202020204" pitchFamily="34" charset="0"/>
            </a:rPr>
            <a:pPr marL="0" indent="0" algn="l"/>
            <a:t>19 Total Buses</a:t>
          </a:fld>
          <a:endParaRPr lang="en-IN" sz="1300" b="0" i="0" u="none" strike="noStrike">
            <a:solidFill>
              <a:schemeClr val="tx2">
                <a:lumMod val="90000"/>
                <a:lumOff val="10000"/>
              </a:schemeClr>
            </a:solidFill>
            <a:latin typeface="Arial Rounded MT Bold" panose="020F070403050403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433522</xdr:colOff>
      <xdr:row>3</xdr:row>
      <xdr:rowOff>151256</xdr:rowOff>
    </xdr:from>
    <xdr:to>
      <xdr:col>14</xdr:col>
      <xdr:colOff>579110</xdr:colOff>
      <xdr:row>4</xdr:row>
      <xdr:rowOff>110454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6659D757-8BDF-49C1-A957-5C42E7E9310B}"/>
            </a:ext>
          </a:extLst>
        </xdr:cNvPr>
        <xdr:cNvSpPr/>
      </xdr:nvSpPr>
      <xdr:spPr>
        <a:xfrm>
          <a:off x="9577522" y="704709"/>
          <a:ext cx="145588" cy="14368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598844</xdr:colOff>
      <xdr:row>3</xdr:row>
      <xdr:rowOff>72479</xdr:rowOff>
    </xdr:from>
    <xdr:to>
      <xdr:col>18</xdr:col>
      <xdr:colOff>40105</xdr:colOff>
      <xdr:row>4</xdr:row>
      <xdr:rowOff>180763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678278D-C1CD-48F4-8216-29F791B177BA}"/>
            </a:ext>
          </a:extLst>
        </xdr:cNvPr>
        <xdr:cNvSpPr txBox="1"/>
      </xdr:nvSpPr>
      <xdr:spPr>
        <a:xfrm>
          <a:off x="9742844" y="625932"/>
          <a:ext cx="1879661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Bus Utilization Rate</a:t>
          </a:r>
          <a:endParaRPr lang="en-IN" sz="1300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361334</xdr:colOff>
      <xdr:row>20</xdr:row>
      <xdr:rowOff>136359</xdr:rowOff>
    </xdr:from>
    <xdr:to>
      <xdr:col>19</xdr:col>
      <xdr:colOff>176463</xdr:colOff>
      <xdr:row>21</xdr:row>
      <xdr:rowOff>21949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9F2D16C-9412-49FE-8C95-9B468399A114}"/>
            </a:ext>
          </a:extLst>
        </xdr:cNvPr>
        <xdr:cNvSpPr/>
      </xdr:nvSpPr>
      <xdr:spPr>
        <a:xfrm flipV="1">
          <a:off x="9505334" y="3826043"/>
          <a:ext cx="2863129" cy="70074"/>
        </a:xfrm>
        <a:prstGeom prst="rect">
          <a:avLst/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62000">
              <a:srgbClr val="3B3B3B"/>
            </a:gs>
            <a:gs pos="27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433522</xdr:colOff>
      <xdr:row>21</xdr:row>
      <xdr:rowOff>119175</xdr:rowOff>
    </xdr:from>
    <xdr:to>
      <xdr:col>14</xdr:col>
      <xdr:colOff>579110</xdr:colOff>
      <xdr:row>22</xdr:row>
      <xdr:rowOff>78372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457ADC44-E198-4B4C-93DC-D6EF66E3FEC4}"/>
            </a:ext>
          </a:extLst>
        </xdr:cNvPr>
        <xdr:cNvSpPr/>
      </xdr:nvSpPr>
      <xdr:spPr>
        <a:xfrm>
          <a:off x="9577522" y="3993343"/>
          <a:ext cx="145588" cy="14368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598844</xdr:colOff>
      <xdr:row>21</xdr:row>
      <xdr:rowOff>40398</xdr:rowOff>
    </xdr:from>
    <xdr:to>
      <xdr:col>19</xdr:col>
      <xdr:colOff>200526</xdr:colOff>
      <xdr:row>22</xdr:row>
      <xdr:rowOff>148681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E711AF3-0D0B-4C4F-BCD4-E7D75702E4EF}"/>
            </a:ext>
          </a:extLst>
        </xdr:cNvPr>
        <xdr:cNvSpPr txBox="1"/>
      </xdr:nvSpPr>
      <xdr:spPr>
        <a:xfrm>
          <a:off x="9742844" y="3914566"/>
          <a:ext cx="2649682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Rider base on Moment of Trip</a:t>
          </a:r>
        </a:p>
      </xdr:txBody>
    </xdr:sp>
    <xdr:clientData/>
  </xdr:twoCellAnchor>
  <xdr:twoCellAnchor>
    <xdr:from>
      <xdr:col>14</xdr:col>
      <xdr:colOff>433522</xdr:colOff>
      <xdr:row>23</xdr:row>
      <xdr:rowOff>97863</xdr:rowOff>
    </xdr:from>
    <xdr:to>
      <xdr:col>15</xdr:col>
      <xdr:colOff>435922</xdr:colOff>
      <xdr:row>26</xdr:row>
      <xdr:rowOff>156411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B48C6110-355F-D669-7A3C-FA1970ED53E0}"/>
            </a:ext>
          </a:extLst>
        </xdr:cNvPr>
        <xdr:cNvSpPr/>
      </xdr:nvSpPr>
      <xdr:spPr>
        <a:xfrm>
          <a:off x="9577522" y="4341000"/>
          <a:ext cx="612000" cy="612000"/>
        </a:xfrm>
        <a:prstGeom prst="roundRect">
          <a:avLst/>
        </a:prstGeom>
        <a:solidFill>
          <a:srgbClr val="68B8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433522</xdr:colOff>
      <xdr:row>28</xdr:row>
      <xdr:rowOff>120315</xdr:rowOff>
    </xdr:from>
    <xdr:to>
      <xdr:col>15</xdr:col>
      <xdr:colOff>435922</xdr:colOff>
      <xdr:row>31</xdr:row>
      <xdr:rowOff>178862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D76FE134-6685-4995-89B4-A62BC34C6AC8}"/>
            </a:ext>
          </a:extLst>
        </xdr:cNvPr>
        <xdr:cNvSpPr/>
      </xdr:nvSpPr>
      <xdr:spPr>
        <a:xfrm>
          <a:off x="9577522" y="5285873"/>
          <a:ext cx="612000" cy="612000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oneCell">
    <xdr:from>
      <xdr:col>14</xdr:col>
      <xdr:colOff>524316</xdr:colOff>
      <xdr:row>23</xdr:row>
      <xdr:rowOff>176309</xdr:rowOff>
    </xdr:from>
    <xdr:to>
      <xdr:col>15</xdr:col>
      <xdr:colOff>345129</xdr:colOff>
      <xdr:row>26</xdr:row>
      <xdr:rowOff>58701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F625CD7-A560-4768-8758-2B9DF035E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8316" y="4419446"/>
          <a:ext cx="430413" cy="435844"/>
        </a:xfrm>
        <a:prstGeom prst="rect">
          <a:avLst/>
        </a:prstGeom>
      </xdr:spPr>
    </xdr:pic>
    <xdr:clientData/>
  </xdr:twoCellAnchor>
  <xdr:twoCellAnchor editAs="oneCell">
    <xdr:from>
      <xdr:col>14</xdr:col>
      <xdr:colOff>505522</xdr:colOff>
      <xdr:row>29</xdr:row>
      <xdr:rowOff>4636</xdr:rowOff>
    </xdr:from>
    <xdr:to>
      <xdr:col>15</xdr:col>
      <xdr:colOff>363922</xdr:colOff>
      <xdr:row>31</xdr:row>
      <xdr:rowOff>110058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7827EA6-A725-43B3-BE17-DBA94272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9522" y="5354678"/>
          <a:ext cx="468000" cy="474391"/>
        </a:xfrm>
        <a:prstGeom prst="rect">
          <a:avLst/>
        </a:prstGeom>
      </xdr:spPr>
    </xdr:pic>
    <xdr:clientData/>
  </xdr:twoCellAnchor>
  <xdr:twoCellAnchor>
    <xdr:from>
      <xdr:col>15</xdr:col>
      <xdr:colOff>462487</xdr:colOff>
      <xdr:row>23</xdr:row>
      <xdr:rowOff>88231</xdr:rowOff>
    </xdr:from>
    <xdr:to>
      <xdr:col>18</xdr:col>
      <xdr:colOff>184484</xdr:colOff>
      <xdr:row>25</xdr:row>
      <xdr:rowOff>12031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169AC58-120E-432B-8693-54411A8CD584}"/>
            </a:ext>
          </a:extLst>
        </xdr:cNvPr>
        <xdr:cNvSpPr txBox="1"/>
      </xdr:nvSpPr>
      <xdr:spPr>
        <a:xfrm>
          <a:off x="10216087" y="4331368"/>
          <a:ext cx="1550797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IN" sz="12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Rider by  </a:t>
          </a:r>
          <a:r>
            <a:rPr lang="en-IN" sz="1400" baseline="0">
              <a:solidFill>
                <a:srgbClr val="68B8B0"/>
              </a:solidFill>
              <a:latin typeface="Arial" panose="020B0604020202020204" pitchFamily="34" charset="0"/>
              <a:cs typeface="Arial" panose="020B0604020202020204" pitchFamily="34" charset="0"/>
            </a:rPr>
            <a:t>AM</a:t>
          </a:r>
          <a:endParaRPr lang="en-IN" sz="1200" baseline="0">
            <a:solidFill>
              <a:srgbClr val="68B8B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462487</xdr:colOff>
      <xdr:row>28</xdr:row>
      <xdr:rowOff>120315</xdr:rowOff>
    </xdr:from>
    <xdr:to>
      <xdr:col>18</xdr:col>
      <xdr:colOff>128337</xdr:colOff>
      <xdr:row>30</xdr:row>
      <xdr:rowOff>44115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4507C61-E3E6-4B7C-8873-4D02962410D4}"/>
            </a:ext>
          </a:extLst>
        </xdr:cNvPr>
        <xdr:cNvSpPr txBox="1"/>
      </xdr:nvSpPr>
      <xdr:spPr>
        <a:xfrm>
          <a:off x="10216087" y="5285873"/>
          <a:ext cx="1494650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IN" sz="1200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Rider by  </a:t>
          </a:r>
          <a:r>
            <a:rPr lang="en-IN" sz="1400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PM</a:t>
          </a:r>
          <a:endParaRPr lang="en-IN" sz="1200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269981</xdr:colOff>
      <xdr:row>25</xdr:row>
      <xdr:rowOff>48127</xdr:rowOff>
    </xdr:from>
    <xdr:to>
      <xdr:col>17</xdr:col>
      <xdr:colOff>449179</xdr:colOff>
      <xdr:row>26</xdr:row>
      <xdr:rowOff>156411</xdr:rowOff>
    </xdr:to>
    <xdr:sp macro="" textlink="PivotTable1!AV8">
      <xdr:nvSpPr>
        <xdr:cNvPr id="95" name="TextBox 94">
          <a:extLst>
            <a:ext uri="{FF2B5EF4-FFF2-40B4-BE49-F238E27FC236}">
              <a16:creationId xmlns:a16="http://schemas.microsoft.com/office/drawing/2014/main" id="{7F170384-B59E-4163-9C9A-B571A6CF9CB1}"/>
            </a:ext>
          </a:extLst>
        </xdr:cNvPr>
        <xdr:cNvSpPr txBox="1"/>
      </xdr:nvSpPr>
      <xdr:spPr>
        <a:xfrm>
          <a:off x="10633181" y="4660232"/>
          <a:ext cx="788798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l"/>
          <a:fld id="{3E9F7620-FEE3-4AC9-8B87-14C7BFD6E431}" type="TxLink">
            <a:rPr lang="en-US" sz="1400" b="1" baseline="0">
              <a:solidFill>
                <a:srgbClr val="68B8B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35.39%</a:t>
          </a:fld>
          <a:endParaRPr lang="en-IN" sz="1400" b="1" baseline="0">
            <a:solidFill>
              <a:srgbClr val="68B8B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237898</xdr:colOff>
      <xdr:row>30</xdr:row>
      <xdr:rowOff>70579</xdr:rowOff>
    </xdr:from>
    <xdr:to>
      <xdr:col>17</xdr:col>
      <xdr:colOff>425116</xdr:colOff>
      <xdr:row>31</xdr:row>
      <xdr:rowOff>178862</xdr:rowOff>
    </xdr:to>
    <xdr:sp macro="" textlink="PivotTable1!AV9">
      <xdr:nvSpPr>
        <xdr:cNvPr id="96" name="TextBox 95">
          <a:extLst>
            <a:ext uri="{FF2B5EF4-FFF2-40B4-BE49-F238E27FC236}">
              <a16:creationId xmlns:a16="http://schemas.microsoft.com/office/drawing/2014/main" id="{811BE02D-7F72-4AA3-B1E7-3CDAE72221DB}"/>
            </a:ext>
          </a:extLst>
        </xdr:cNvPr>
        <xdr:cNvSpPr txBox="1"/>
      </xdr:nvSpPr>
      <xdr:spPr>
        <a:xfrm>
          <a:off x="10601098" y="5605105"/>
          <a:ext cx="796818" cy="292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l"/>
          <a:fld id="{735692BC-F201-4A95-9A53-4A483E48F64C}" type="TxLink">
            <a:rPr lang="en-US" sz="1400" b="1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64.61%</a:t>
          </a:fld>
          <a:endParaRPr lang="en-IN" sz="1400" b="1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185185184" createdVersion="5" refreshedVersion="8" minRefreshableVersion="3" recordCount="0" supportSubquery="1" supportAdvancedDrill="1" xr:uid="{D92271EC-64BA-49DE-A1FD-EA5732CE3A85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Dim_DateTable].[Month Name].[Month Name]" caption="Month Name" numFmtId="0" hierarchy="7" level="1">
      <sharedItems count="2">
        <s v="Jan"/>
        <s v="Dec"/>
      </sharedItems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3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188310186" createdVersion="5" refreshedVersion="8" minRefreshableVersion="3" recordCount="0" supportSubquery="1" supportAdvancedDrill="1" xr:uid="{22633928-8413-4C98-ADE6-906E6178F95A}">
  <cacheSource type="external" connectionId="7"/>
  <cacheFields count="3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191203704" createdVersion="5" refreshedVersion="8" minRefreshableVersion="3" recordCount="0" supportSubquery="1" supportAdvancedDrill="1" xr:uid="{4D56517E-AA52-4A43-AA2E-3C3C74BEED2B}">
  <cacheSource type="external" connectionId="7"/>
  <cacheFields count="3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193865744" createdVersion="5" refreshedVersion="8" minRefreshableVersion="3" recordCount="0" supportSubquery="1" supportAdvancedDrill="1" xr:uid="{0AC04CDA-703A-4BA3-854A-38AE7CA71F83}">
  <cacheSource type="external" connectionId="7"/>
  <cacheFields count="3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 Group].[Time Group]" caption="Time Group" numFmtId="0" hierarchy="31" level="1">
      <sharedItems count="4">
        <s v="10:00 AM - 3:00 PM"/>
        <s v="3:00 PM - 8:00 PM"/>
        <s v="5:00 AM - 10:00 AM"/>
        <s v="8:00 PM - 12:00 AM"/>
      </sharedItems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197106484" createdVersion="5" refreshedVersion="8" minRefreshableVersion="3" recordCount="0" supportSubquery="1" supportAdvancedDrill="1" xr:uid="{D87EBEB6-B839-4549-AB3F-83913DCF80F4}">
  <cacheSource type="external" connectionId="7"/>
  <cacheFields count="2">
    <cacheField name="[Dim_routes].[RouteName].[RouteName]" caption="RouteName" numFmtId="0" hierarchy="18" level="1">
      <sharedItems count="1">
        <s v="South Line"/>
      </sharedItems>
    </cacheField>
    <cacheField name="[Measures].[Total Riders (Passengers)]" caption="Total Riders (Passengers)" numFmtId="0" hierarchy="40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200347225" createdVersion="5" refreshedVersion="8" minRefreshableVersion="3" recordCount="0" supportSubquery="1" supportAdvancedDrill="1" xr:uid="{DF346107-6E79-42A1-AA83-64264AC208BE}">
  <cacheSource type="external" connectionId="7"/>
  <cacheFields count="2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202893519" createdVersion="5" refreshedVersion="8" minRefreshableVersion="3" recordCount="0" supportSubquery="1" supportAdvancedDrill="1" xr:uid="{4FE257A9-694D-4884-A348-08B5D5877E7F}">
  <cacheSource type="external" connectionId="7"/>
  <cacheFields count="2">
    <cacheField name="[Measures].[Total Riders (Passengers)]" caption="Total Riders (Passengers)" numFmtId="0" hierarchy="40" level="32767"/>
    <cacheField name="[Measures].[Avg. Riders Per Trip]" caption="Avg. Riders Per Trip" numFmtId="0" hierarchy="41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206481483" createdVersion="5" refreshedVersion="8" minRefreshableVersion="3" recordCount="0" supportSubquery="1" supportAdvancedDrill="1" xr:uid="{446567BA-F1FC-416F-8B27-3A8AC67AF905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3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209375" createdVersion="5" refreshedVersion="8" minRefreshableVersion="3" recordCount="0" supportSubquery="1" supportAdvancedDrill="1" xr:uid="{867681F2-13C2-4F85-A988-2B1246C951B4}">
  <cacheSource type="external" connectionId="7"/>
  <cacheFields count="5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  <cacheField name="Unsupported0" numFmtId="0" hierarchy="5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1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3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Unsupported0" caption="Calculation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3212384256" createdVersion="5" refreshedVersion="8" minRefreshableVersion="3" recordCount="0" supportSubquery="1" supportAdvancedDrill="1" xr:uid="{75DAAE42-14F5-4E09-B0E0-6CFA2F3B765A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Measures].[Total Riders (Passengers)]" caption="Total Riders (Passengers)" numFmtId="0" hierarchy="40" level="32767"/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Dim_DateTable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2" memberValueDatatype="130" unbalanced="0">
      <fieldsUsage count="2">
        <fieldUsage x="-1"/>
        <fieldUsage x="3"/>
      </fieldsUsage>
    </cacheHierarchy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879761111108" createdVersion="5" refreshedVersion="8" minRefreshableVersion="3" recordCount="0" supportSubquery="1" supportAdvancedDrill="1" xr:uid="{CC636814-28F1-45F9-92AB-096BB1A0EC20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Measures].[Total Buses]" caption="Total Buses" numFmtId="0" hierarchy="42" level="32767"/>
    <cacheField name="[Facttable_ridership].[Bus Utilization Category].[Bus Utilization Category]" caption="Bus Utilization Category" numFmtId="0" hierarchy="34" level="1">
      <sharedItems count="3">
        <s v="Over-Utilized"/>
        <s v="Under-Utilized"/>
        <s v="Well-Utilized"/>
      </sharedItems>
    </cacheField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/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2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7.985689351852" createdVersion="5" refreshedVersion="8" minRefreshableVersion="3" recordCount="0" supportSubquery="1" supportAdvancedDrill="1" xr:uid="{5B3EFC04-0CC6-4CCE-BE6F-96FEC15474AC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Operation Moment].[Operation Moment]" caption="Operation Moment" numFmtId="0" hierarchy="30" level="1">
      <sharedItems count="2">
        <s v="AM"/>
        <s v="PM"/>
      </sharedItems>
    </cacheField>
    <cacheField name="[Measures].[Total Riders (Passengers)]" caption="Total Riders (Passengers)" numFmtId="0" hierarchy="40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3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BCCA5-10E7-43C5-AE50-194E52872820}" name="PivotTable7" cacheId="7" applyNumberFormats="0" applyBorderFormats="0" applyFontFormats="0" applyPatternFormats="0" applyAlignmentFormats="0" applyWidthHeightFormats="1" dataCaption="Values" tag="e3b90d9b-d545-441d-9cb5-ad2f1ae51f31" updatedVersion="8" minRefreshableVersion="3" useAutoFormatting="1" subtotalHiddenItems="1" rowGrandTotals="0" colGrandTotals="0" itemPrintTitles="1" createdVersion="5" indent="0" compact="0" compactData="0" multipleFieldFilters="0" chartFormat="5">
  <location ref="L3:M5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2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5C7EA-F735-41EE-8465-8E50635DE190}" name="PivotTable6" cacheId="9" applyNumberFormats="0" applyBorderFormats="0" applyFontFormats="0" applyPatternFormats="0" applyAlignmentFormats="0" applyWidthHeightFormats="1" dataCaption="Values" tag="5c634e7b-75f4-49ea-8e0b-13f9b893fa96" updatedVersion="8" minRefreshableVersion="3" useAutoFormatting="1" subtotalHiddenItems="1" rowGrandTotals="0" colGrandTotals="0" itemPrintTitles="1" createdVersion="5" indent="0" compact="0" compactData="0" multipleFieldFilters="0" chartFormat="5">
  <location ref="U3:V10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2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FE257-838C-4B4F-B404-0D8618BB4652}" name="PivotTable5" cacheId="1" applyNumberFormats="0" applyBorderFormats="0" applyFontFormats="0" applyPatternFormats="0" applyAlignmentFormats="0" applyWidthHeightFormats="1" dataCaption="Values" tag="2858f8c9-e8ea-4797-a341-699d874227c2" updatedVersion="8" minRefreshableVersion="3" useAutoFormatting="1" subtotalHiddenItems="1" rowGrandTotals="0" colGrandTotals="0" itemPrintTitles="1" createdVersion="5" indent="0" compact="0" compactData="0" multipleFieldFilters="0" chartFormat="5">
  <location ref="G19:H20" firstHeaderRow="1" firstDataRow="1" firstDataCol="1"/>
  <pivotFields count="3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2"/>
  </rowFields>
  <rowItems count="1">
    <i>
      <x/>
    </i>
  </rowItems>
  <colItems count="1">
    <i/>
  </colItems>
  <dataFields count="1">
    <dataField fld="1" subtotal="count" baseField="0" baseItem="0"/>
  </dataFields>
  <formats count="1">
    <format dxfId="0">
      <pivotArea dataOnly="0" labelOnly="1" outline="0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3" iMeasureHier="40">
      <autoFilter ref="A1">
        <filterColumn colId="0">
          <top10 top="0" val="1" filterVal="1"/>
        </filterColumn>
      </autoFilter>
    </filter>
    <filter fld="0" type="count" id="1" iMeasureHier="40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84C23-2C4B-4C78-B1A6-941139EE2030}" name="LeastBusyRoute" cacheId="5" applyNumberFormats="0" applyBorderFormats="0" applyFontFormats="0" applyPatternFormats="0" applyAlignmentFormats="0" applyWidthHeightFormats="1" dataCaption="Values" tag="c5661154-583d-46a5-8c9c-400fac73e822" updatedVersion="8" minRefreshableVersion="3" useAutoFormatting="1" subtotalHiddenItems="1" rowGrandTotals="0" colGrandTotals="0" itemPrintTitles="1" createdVersion="5" indent="0" compact="0" compactData="0" multipleFieldFilters="0">
  <location ref="B6:C7" firstHeaderRow="1" firstDataRow="1" firstDataCol="1"/>
  <pivotFields count="2">
    <pivotField axis="axisRow"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1">
    <field x="0"/>
  </rowFields>
  <rowItems count="1">
    <i>
      <x/>
    </i>
  </rowItems>
  <colItems count="1">
    <i/>
  </colItems>
  <dataFields count="1"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routes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6CBBB-CEFD-498F-9D87-9E994855103F}" name="PivotTable4" cacheId="2" applyNumberFormats="0" applyBorderFormats="0" applyFontFormats="0" applyPatternFormats="0" applyAlignmentFormats="0" applyWidthHeightFormats="1" dataCaption="Values" tag="b2be20dc-fbe0-4e65-9978-69c62a98d83c" updatedVersion="8" minRefreshableVersion="3" useAutoFormatting="1" subtotalHiddenItems="1" rowGrandTotals="0" colGrandTotals="0" itemPrintTitles="1" createdVersion="5" indent="0" compact="0" compactData="0" multipleFieldFilters="0" chartFormat="5">
  <location ref="G11:H12" firstHeaderRow="1" firstDataRow="1" firstDataCol="1"/>
  <pivotFields count="3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2"/>
  </rowFields>
  <rowItems count="1">
    <i>
      <x/>
    </i>
  </rowItems>
  <colItems count="1">
    <i/>
  </colItems>
  <dataFields count="1">
    <dataField fld="1" subtotal="count" baseField="0" baseItem="0"/>
  </dataFields>
  <formats count="1">
    <format dxfId="1">
      <pivotArea dataOnly="0" labelOnly="1" outline="0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2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CDB0-F89D-4757-8155-7C02223C2F0F}" name="PivotTable2" cacheId="4" applyNumberFormats="0" applyBorderFormats="0" applyFontFormats="0" applyPatternFormats="0" applyAlignmentFormats="0" applyWidthHeightFormats="1" dataCaption="Values" tag="2d984daf-a4ed-446a-b75a-2343a751998c" updatedVersion="8" minRefreshableVersion="3" useAutoFormatting="1" subtotalHiddenItems="1" rowGrandTotals="0" colGrandTotals="0" itemPrintTitles="1" createdVersion="5" indent="0" compact="0" compactData="0" multipleFieldFilters="0">
  <location ref="B11:C12" firstHeaderRow="1" firstDataRow="1" firstDataCol="1"/>
  <pivotFields count="2">
    <pivotField axis="axisRow"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1">
    <field x="0"/>
  </rowFields>
  <rowItems count="1">
    <i>
      <x/>
    </i>
  </rowItems>
  <colItems count="1">
    <i/>
  </colItems>
  <dataFields count="1"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40">
      <autoFilter ref="A1">
        <filterColumn colId="0">
          <top10 top="0"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7FCF5-4F25-4CAD-A608-48AAEF4B6F01}" name="PivotTable8" cacheId="8" applyNumberFormats="0" applyBorderFormats="0" applyFontFormats="0" applyPatternFormats="0" applyAlignmentFormats="0" applyWidthHeightFormats="1" dataCaption="Values" tag="b41e7653-52bc-46f5-ab1b-94b32b91135e" updatedVersion="8" minRefreshableVersion="3" useAutoFormatting="1" subtotalHiddenItems="1" rowGrandTotals="0" colGrandTotals="0" itemPrintTitles="1" createdVersion="5" indent="0" compact="0" compactData="0" multipleFieldFilters="0" chartFormat="5">
  <location ref="L8:N10" firstHeaderRow="0" firstDataRow="1" firstDataCol="1"/>
  <pivotFields count="5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1" subtotal="count" showDataAs="difference" baseField="3" baseItem="1"/>
    <dataField name="Total Riders (Passengers)2" fld="4" subtotal="count" showDataAs="percentDiff" baseField="3" baseItem="0" numFmtId="10">
      <extLst>
        <ext xmlns:x14="http://schemas.microsoft.com/office/spreadsheetml/2009/9/main" uri="{E15A36E0-9728-4e99-A89B-3F7291B0FE68}">
          <x14:dataField sourceField="1" uniqueName="[__Xl2].[Measures].[Total Riders (Passengers)]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2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06A6E-53F2-434A-8623-F2B15CBEF764}" name="PivotTable12" cacheId="10" applyNumberFormats="0" applyBorderFormats="0" applyFontFormats="0" applyPatternFormats="0" applyAlignmentFormats="0" applyWidthHeightFormats="1" dataCaption="Values" tag="47257124-391c-4aec-9700-9a41e9e91984" updatedVersion="8" minRefreshableVersion="3" useAutoFormatting="1" subtotalHiddenItems="1" rowGrandTotals="0" colGrandTotals="0" itemPrintTitles="1" createdVersion="5" indent="0" compact="0" compactData="0" multipleFieldFilters="0" chartFormat="5">
  <location ref="AL3:AM6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fld="2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1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77F92-B9F2-4642-9D2A-CDD4C5DD4048}" name="PivotTable3" cacheId="3" applyNumberFormats="0" applyBorderFormats="0" applyFontFormats="0" applyPatternFormats="0" applyAlignmentFormats="0" applyWidthHeightFormats="1" dataCaption="Values" tag="d10c2212-94e8-415c-a6cf-5461becab0b4" updatedVersion="8" minRefreshableVersion="3" useAutoFormatting="1" subtotalHiddenItems="1" rowGrandTotals="0" colGrandTotals="0" itemPrintTitles="1" createdVersion="5" indent="0" compact="0" compactData="0" multipleFieldFilters="0" chartFormat="7">
  <location ref="G2:H6" firstHeaderRow="1" firstDataRow="1" firstDataCol="1"/>
  <pivotFields count="3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routes]"/>
        <x15:activeTabTopLevelEntity name="[Calculation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8042-517C-4B30-8E82-9E7F67E5E64D}" name="PivotTable10" cacheId="11" applyNumberFormats="0" applyBorderFormats="0" applyFontFormats="0" applyPatternFormats="0" applyAlignmentFormats="0" applyWidthHeightFormats="1" dataCaption="Values" tag="47257124-391c-4aec-9700-9a41e9e91984" updatedVersion="8" minRefreshableVersion="3" useAutoFormatting="1" subtotalHiddenItems="1" rowGrandTotals="0" colGrandTotals="0" itemPrintTitles="1" createdVersion="5" indent="0" compact="0" compactData="0" multipleFieldFilters="0" chartFormat="5">
  <location ref="AT3:AU5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2"/>
  </rowFields>
  <rowItems count="2">
    <i>
      <x/>
    </i>
    <i>
      <x v="1"/>
    </i>
  </rowItems>
  <colItems count="1">
    <i/>
  </colItems>
  <dataFields count="1">
    <dataField fld="3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1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2A202-6EA0-485B-A1CA-79A7F015EFB7}" name="PivotTable1" cacheId="6" applyNumberFormats="0" applyBorderFormats="0" applyFontFormats="0" applyPatternFormats="0" applyAlignmentFormats="0" applyWidthHeightFormats="1" dataCaption="Values" tag="3b4f58ef-b443-47af-8820-cf937f26ed34" updatedVersion="8" minRefreshableVersion="3" useAutoFormatting="1" subtotalHiddenItems="1" rowGrandTotals="0" colGrandTotals="0" itemPrintTitles="1" createdVersion="5" indent="0" compact="0" compactData="0" multipleFieldFilters="0">
  <location ref="B2:C3" firstHeaderRow="0" firstDataRow="1" firstDataCol="0"/>
  <pivotFields count="2"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5055C-C1E9-495D-B3E6-9915C1F599B3}" name="PivotTable9" cacheId="0" applyNumberFormats="0" applyBorderFormats="0" applyFontFormats="0" applyPatternFormats="0" applyAlignmentFormats="0" applyWidthHeightFormats="1" dataCaption="Values" tag="4495f7d9-24de-4e66-9c2f-5dcf787f0fec" updatedVersion="8" minRefreshableVersion="3" useAutoFormatting="1" subtotalHiddenItems="1" rowGrandTotals="0" colGrandTotals="0" itemPrintTitles="1" createdVersion="5" indent="0" compact="0" compactData="0" multipleFieldFilters="0" chartFormat="5">
  <location ref="AF3:AG5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0">
      <autoFilter ref="A1">
        <filterColumn colId="0">
          <top10 val="1" filterVal="1"/>
        </filterColumn>
      </autoFilter>
    </filter>
    <filter fld="2" type="count" id="2" iMeasureHier="40">
      <autoFilter ref="A1">
        <filterColumn colId="0">
          <top10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utes]"/>
        <x15:activeTabTopLevelEntity name="[Calculations]"/>
        <x15:activeTabTopLevelEntity name="[Facttable_ridership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2689A0-09BB-49E7-B6AC-B4297E14CC13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bee3e597-79a0-4141-a83f-8fdfde4d80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3DCA-F66E-425F-93F6-508A756400C5}">
  <dimension ref="B2:AV25"/>
  <sheetViews>
    <sheetView topLeftCell="AK1" zoomScaleNormal="100" workbookViewId="0">
      <selection activeCell="AF19" sqref="AF19"/>
    </sheetView>
  </sheetViews>
  <sheetFormatPr defaultRowHeight="14.4" x14ac:dyDescent="0.3"/>
  <cols>
    <col min="2" max="2" width="22.109375" bestFit="1" customWidth="1"/>
    <col min="3" max="3" width="16.88671875" bestFit="1" customWidth="1"/>
    <col min="4" max="4" width="17.109375" customWidth="1"/>
    <col min="5" max="5" width="5.77734375" style="3" customWidth="1"/>
    <col min="6" max="6" width="10.88671875" bestFit="1" customWidth="1"/>
    <col min="7" max="7" width="16.33203125" bestFit="1" customWidth="1"/>
    <col min="8" max="9" width="22.109375" bestFit="1" customWidth="1"/>
    <col min="10" max="10" width="5.77734375" style="3" customWidth="1"/>
    <col min="12" max="12" width="6.88671875" bestFit="1" customWidth="1"/>
    <col min="13" max="13" width="22.109375" bestFit="1" customWidth="1"/>
    <col min="14" max="14" width="23.109375" bestFit="1" customWidth="1"/>
    <col min="15" max="15" width="36.21875" bestFit="1" customWidth="1"/>
    <col min="17" max="17" width="5" customWidth="1"/>
    <col min="18" max="18" width="10.109375" customWidth="1"/>
    <col min="19" max="19" width="5.77734375" style="3" customWidth="1"/>
    <col min="21" max="21" width="11.6640625" bestFit="1" customWidth="1"/>
    <col min="22" max="22" width="22.109375" bestFit="1" customWidth="1"/>
    <col min="24" max="24" width="12.6640625" bestFit="1" customWidth="1"/>
    <col min="30" max="30" width="5.77734375" style="3" customWidth="1"/>
    <col min="32" max="32" width="13.6640625" bestFit="1" customWidth="1"/>
    <col min="33" max="34" width="22.109375" bestFit="1" customWidth="1"/>
    <col min="36" max="36" width="5.77734375" style="3" customWidth="1"/>
    <col min="38" max="38" width="23.109375" bestFit="1" customWidth="1"/>
    <col min="39" max="40" width="10.33203125" bestFit="1" customWidth="1"/>
    <col min="41" max="41" width="10.109375" bestFit="1" customWidth="1"/>
    <col min="42" max="42" width="12.44140625" bestFit="1" customWidth="1"/>
    <col min="44" max="44" width="5.77734375" style="3" customWidth="1"/>
    <col min="46" max="46" width="18.77734375" bestFit="1" customWidth="1"/>
    <col min="47" max="47" width="22.109375" bestFit="1" customWidth="1"/>
  </cols>
  <sheetData>
    <row r="2" spans="2:48" x14ac:dyDescent="0.3">
      <c r="B2" t="s">
        <v>0</v>
      </c>
      <c r="C2" t="s">
        <v>1</v>
      </c>
      <c r="G2" s="1" t="s">
        <v>7</v>
      </c>
      <c r="H2" t="s">
        <v>0</v>
      </c>
    </row>
    <row r="3" spans="2:48" x14ac:dyDescent="0.3">
      <c r="B3" s="2">
        <v>6587</v>
      </c>
      <c r="C3" s="2">
        <v>32.935000000000002</v>
      </c>
      <c r="D3" s="2"/>
      <c r="E3" s="4"/>
      <c r="G3" t="s">
        <v>8</v>
      </c>
      <c r="H3" s="2">
        <v>2243</v>
      </c>
      <c r="J3" s="4"/>
      <c r="L3" s="1" t="s">
        <v>15</v>
      </c>
      <c r="M3" t="s">
        <v>0</v>
      </c>
      <c r="S3" s="4"/>
      <c r="U3" s="1" t="s">
        <v>22</v>
      </c>
      <c r="V3" t="s">
        <v>0</v>
      </c>
      <c r="AD3" s="4"/>
      <c r="AF3" s="1" t="s">
        <v>33</v>
      </c>
      <c r="AG3" t="s">
        <v>0</v>
      </c>
      <c r="AJ3" s="4"/>
      <c r="AL3" s="1" t="s">
        <v>37</v>
      </c>
      <c r="AM3" t="s">
        <v>36</v>
      </c>
      <c r="AR3" s="4"/>
      <c r="AT3" s="1" t="s">
        <v>43</v>
      </c>
      <c r="AU3" t="s">
        <v>0</v>
      </c>
    </row>
    <row r="4" spans="2:48" x14ac:dyDescent="0.3">
      <c r="G4" t="s">
        <v>9</v>
      </c>
      <c r="H4" s="2">
        <v>1346</v>
      </c>
      <c r="L4">
        <v>2023</v>
      </c>
      <c r="M4" s="2">
        <v>5654</v>
      </c>
      <c r="U4" t="s">
        <v>26</v>
      </c>
      <c r="V4" s="2">
        <v>1185</v>
      </c>
      <c r="AF4" t="s">
        <v>35</v>
      </c>
      <c r="AG4" s="2">
        <v>933</v>
      </c>
      <c r="AL4" t="s">
        <v>38</v>
      </c>
      <c r="AM4" s="15">
        <v>29</v>
      </c>
      <c r="AT4" t="s">
        <v>44</v>
      </c>
      <c r="AU4" s="2">
        <v>2331</v>
      </c>
    </row>
    <row r="5" spans="2:48" x14ac:dyDescent="0.3">
      <c r="G5" t="s">
        <v>10</v>
      </c>
      <c r="H5" s="2">
        <v>1345</v>
      </c>
      <c r="L5">
        <v>2024</v>
      </c>
      <c r="M5" s="2">
        <v>933</v>
      </c>
      <c r="U5" t="s">
        <v>24</v>
      </c>
      <c r="V5" s="2">
        <v>1085</v>
      </c>
      <c r="AF5" t="s">
        <v>34</v>
      </c>
      <c r="AG5" s="2">
        <v>5654</v>
      </c>
      <c r="AL5" t="s">
        <v>39</v>
      </c>
      <c r="AM5" s="15">
        <v>19</v>
      </c>
      <c r="AT5" t="s">
        <v>45</v>
      </c>
      <c r="AU5" s="2">
        <v>4256</v>
      </c>
    </row>
    <row r="6" spans="2:48" x14ac:dyDescent="0.3">
      <c r="B6" s="1" t="s">
        <v>4</v>
      </c>
      <c r="C6" t="s">
        <v>0</v>
      </c>
      <c r="G6" t="s">
        <v>11</v>
      </c>
      <c r="H6" s="2">
        <v>1653</v>
      </c>
      <c r="U6" t="s">
        <v>28</v>
      </c>
      <c r="V6" s="2">
        <v>983</v>
      </c>
      <c r="AL6" t="s">
        <v>40</v>
      </c>
      <c r="AM6" s="15">
        <v>36</v>
      </c>
    </row>
    <row r="7" spans="2:48" x14ac:dyDescent="0.3">
      <c r="B7" t="s">
        <v>2</v>
      </c>
      <c r="C7" s="2">
        <v>1322</v>
      </c>
      <c r="U7" t="s">
        <v>29</v>
      </c>
      <c r="V7" s="2">
        <v>887</v>
      </c>
      <c r="AT7" t="str">
        <f>AT3</f>
        <v>Operation Moment</v>
      </c>
      <c r="AU7" t="str">
        <f>AU3</f>
        <v>Total Riders (Passengers)</v>
      </c>
    </row>
    <row r="8" spans="2:48" x14ac:dyDescent="0.3">
      <c r="L8" s="1" t="s">
        <v>15</v>
      </c>
      <c r="M8" t="s">
        <v>0</v>
      </c>
      <c r="N8" t="s">
        <v>16</v>
      </c>
      <c r="U8" t="s">
        <v>27</v>
      </c>
      <c r="V8" s="2">
        <v>889</v>
      </c>
      <c r="AF8" s="6" t="str">
        <f>AF3</f>
        <v>Month Name</v>
      </c>
      <c r="AG8" s="6" t="str">
        <f>AG3</f>
        <v>Total Riders (Passengers)</v>
      </c>
      <c r="AL8" s="6" t="str">
        <f>AL3</f>
        <v>Bus Utilization Category</v>
      </c>
      <c r="AM8" s="6" t="s">
        <v>41</v>
      </c>
      <c r="AN8" s="6" t="s">
        <v>42</v>
      </c>
      <c r="AO8" s="6" t="str">
        <f>AM3</f>
        <v>Total Buses</v>
      </c>
      <c r="AT8" t="str">
        <f t="shared" ref="AT8:AU9" si="0">AT4</f>
        <v>AM</v>
      </c>
      <c r="AU8">
        <f t="shared" si="0"/>
        <v>2331</v>
      </c>
      <c r="AV8" s="10">
        <f>AU8/SUM($AU$8:$AU$9)</f>
        <v>0.35387885228480342</v>
      </c>
    </row>
    <row r="9" spans="2:48" x14ac:dyDescent="0.3">
      <c r="G9" s="11" t="s">
        <v>12</v>
      </c>
      <c r="L9">
        <v>2023</v>
      </c>
      <c r="M9" s="2">
        <v>4721</v>
      </c>
      <c r="N9" s="10"/>
      <c r="U9" t="s">
        <v>23</v>
      </c>
      <c r="V9" s="2">
        <v>762</v>
      </c>
      <c r="AF9" s="6" t="str">
        <f t="shared" ref="AF9:AG10" si="1">AF4</f>
        <v>Jan</v>
      </c>
      <c r="AG9" s="6">
        <f t="shared" si="1"/>
        <v>933</v>
      </c>
      <c r="AL9" s="6" t="str">
        <f t="shared" ref="AL9:AL11" si="2">AL4</f>
        <v>Over-Utilized</v>
      </c>
      <c r="AM9" s="16">
        <f>AO9/SUM($AO$9:$AO$11)</f>
        <v>0.34523809523809523</v>
      </c>
      <c r="AN9" s="16">
        <f>1-AM9</f>
        <v>0.65476190476190477</v>
      </c>
      <c r="AO9" s="6">
        <f>AM4</f>
        <v>29</v>
      </c>
      <c r="AP9" t="str">
        <f>AO9&amp;" Total Buses"</f>
        <v>29 Total Buses</v>
      </c>
      <c r="AT9" t="str">
        <f t="shared" si="0"/>
        <v>PM</v>
      </c>
      <c r="AU9">
        <f t="shared" si="0"/>
        <v>4256</v>
      </c>
      <c r="AV9" s="10">
        <f>AU9/SUM($AU$8:$AU$9)</f>
        <v>0.64612114771519658</v>
      </c>
    </row>
    <row r="10" spans="2:48" x14ac:dyDescent="0.3">
      <c r="L10">
        <v>2024</v>
      </c>
      <c r="M10" s="2"/>
      <c r="N10" s="10">
        <v>-0.83498408206579411</v>
      </c>
      <c r="Q10" s="10"/>
      <c r="R10" s="10"/>
      <c r="U10" t="s">
        <v>25</v>
      </c>
      <c r="V10" s="2">
        <v>796</v>
      </c>
      <c r="AF10" s="6" t="str">
        <f t="shared" si="1"/>
        <v>Dec</v>
      </c>
      <c r="AG10" s="6">
        <f t="shared" si="1"/>
        <v>5654</v>
      </c>
      <c r="AL10" s="6" t="str">
        <f t="shared" si="2"/>
        <v>Under-Utilized</v>
      </c>
      <c r="AM10" s="16">
        <f>AO10/SUM($AO$9:$AO$11)</f>
        <v>0.22619047619047619</v>
      </c>
      <c r="AN10" s="16">
        <f t="shared" ref="AN10:AN11" si="3">1-AM10</f>
        <v>0.77380952380952384</v>
      </c>
      <c r="AO10" s="6">
        <f>AM5</f>
        <v>19</v>
      </c>
      <c r="AP10" t="str">
        <f t="shared" ref="AP10:AP11" si="4">AO10&amp;" Total Buses"</f>
        <v>19 Total Buses</v>
      </c>
    </row>
    <row r="11" spans="2:48" x14ac:dyDescent="0.3">
      <c r="B11" s="1" t="s">
        <v>4</v>
      </c>
      <c r="C11" t="s">
        <v>0</v>
      </c>
      <c r="G11" s="1" t="s">
        <v>13</v>
      </c>
      <c r="H11" t="s">
        <v>0</v>
      </c>
      <c r="AL11" s="6" t="str">
        <f t="shared" si="2"/>
        <v>Well-Utilized</v>
      </c>
      <c r="AM11" s="16">
        <f>AO11/SUM($AO$9:$AO$11)</f>
        <v>0.42857142857142855</v>
      </c>
      <c r="AN11" s="16">
        <f t="shared" si="3"/>
        <v>0.5714285714285714</v>
      </c>
      <c r="AO11" s="6">
        <f>AM6</f>
        <v>36</v>
      </c>
      <c r="AP11" t="str">
        <f t="shared" si="4"/>
        <v>36 Total Buses</v>
      </c>
    </row>
    <row r="12" spans="2:48" x14ac:dyDescent="0.3">
      <c r="B12" t="s">
        <v>3</v>
      </c>
      <c r="C12" s="2">
        <v>185</v>
      </c>
      <c r="G12" s="8">
        <v>0.87291666666666667</v>
      </c>
      <c r="H12" s="2">
        <v>80</v>
      </c>
      <c r="U12" s="6" t="str">
        <f t="shared" ref="U12:V19" si="5">U3</f>
        <v>Day Name</v>
      </c>
      <c r="V12" s="6" t="str">
        <f t="shared" si="5"/>
        <v>Total Riders (Passengers)</v>
      </c>
      <c r="W12" s="6" t="s">
        <v>30</v>
      </c>
      <c r="X12" s="6" t="s">
        <v>31</v>
      </c>
    </row>
    <row r="13" spans="2:48" x14ac:dyDescent="0.3">
      <c r="U13" s="6" t="str">
        <f t="shared" si="5"/>
        <v>Sun</v>
      </c>
      <c r="V13" s="6">
        <f t="shared" si="5"/>
        <v>1185</v>
      </c>
      <c r="W13" s="6">
        <f t="shared" ref="W13:W19" si="6">AVERAGE($V$13:$V$19)</f>
        <v>941</v>
      </c>
      <c r="X13" s="6">
        <f>IF(V13&gt;W13,V13,"")</f>
        <v>1185</v>
      </c>
    </row>
    <row r="14" spans="2:48" x14ac:dyDescent="0.3">
      <c r="B14" s="13" t="str">
        <f>B2</f>
        <v>Total Riders (Passengers)</v>
      </c>
      <c r="C14" s="13" t="str">
        <f>C2</f>
        <v>Avg. Riders Per Trip</v>
      </c>
      <c r="G14" s="14" t="str">
        <f>G11</f>
        <v>Time</v>
      </c>
      <c r="H14" s="14" t="str">
        <f>H11</f>
        <v>Total Riders (Passengers)</v>
      </c>
      <c r="L14" s="13" t="str">
        <f t="shared" ref="L14:M16" si="7">L3</f>
        <v>Year</v>
      </c>
      <c r="M14" s="13" t="str">
        <f t="shared" si="7"/>
        <v>Total Riders (Passengers)</v>
      </c>
      <c r="O14" s="13" t="s">
        <v>17</v>
      </c>
      <c r="P14" s="13" t="s">
        <v>18</v>
      </c>
      <c r="Q14" s="6"/>
      <c r="U14" s="6" t="str">
        <f t="shared" si="5"/>
        <v>Mon</v>
      </c>
      <c r="V14" s="6">
        <f t="shared" si="5"/>
        <v>1085</v>
      </c>
      <c r="W14" s="6">
        <f t="shared" si="6"/>
        <v>941</v>
      </c>
      <c r="X14" s="6">
        <f t="shared" ref="X14:X19" si="8">IF(V14&gt;W14,V14,"")</f>
        <v>1085</v>
      </c>
    </row>
    <row r="15" spans="2:48" x14ac:dyDescent="0.3">
      <c r="B15" s="6">
        <f>B3</f>
        <v>6587</v>
      </c>
      <c r="C15" s="7">
        <f>C3</f>
        <v>32.935000000000002</v>
      </c>
      <c r="G15" s="9">
        <f>G12</f>
        <v>0.87291666666666667</v>
      </c>
      <c r="H15" s="6">
        <f>GETPIVOTDATA("[Measures].[Total Riders (Passengers)]",$G$11,"[Facttable_ridership].[Time]","[Facttable_ridership].[Time].&amp;[1899-12-30T20:57:00]")</f>
        <v>80</v>
      </c>
      <c r="L15" s="6">
        <f t="shared" si="7"/>
        <v>2023</v>
      </c>
      <c r="M15" s="6">
        <f t="shared" si="7"/>
        <v>5654</v>
      </c>
      <c r="O15" s="12">
        <f>(M16-M15)/M15</f>
        <v>-0.83498408206579411</v>
      </c>
      <c r="P15" s="6" t="str">
        <f>IF(O15&lt;0,Q16,Q15)</f>
        <v>▼</v>
      </c>
      <c r="Q15" s="6" t="s">
        <v>19</v>
      </c>
      <c r="U15" s="6" t="str">
        <f t="shared" si="5"/>
        <v>Tue</v>
      </c>
      <c r="V15" s="6">
        <f t="shared" si="5"/>
        <v>983</v>
      </c>
      <c r="W15" s="6">
        <f t="shared" si="6"/>
        <v>941</v>
      </c>
      <c r="X15" s="6">
        <f t="shared" si="8"/>
        <v>983</v>
      </c>
    </row>
    <row r="16" spans="2:48" x14ac:dyDescent="0.3">
      <c r="L16" s="6">
        <f t="shared" si="7"/>
        <v>2024</v>
      </c>
      <c r="M16" s="6">
        <f t="shared" si="7"/>
        <v>933</v>
      </c>
      <c r="O16" s="6"/>
      <c r="P16" s="6"/>
      <c r="Q16" s="6" t="s">
        <v>20</v>
      </c>
      <c r="U16" s="6" t="str">
        <f t="shared" si="5"/>
        <v>Wed</v>
      </c>
      <c r="V16" s="6">
        <f t="shared" si="5"/>
        <v>887</v>
      </c>
      <c r="W16" s="6">
        <f t="shared" si="6"/>
        <v>941</v>
      </c>
      <c r="X16" s="6" t="str">
        <f t="shared" si="8"/>
        <v/>
      </c>
    </row>
    <row r="17" spans="2:24" x14ac:dyDescent="0.3">
      <c r="B17" s="13" t="s">
        <v>5</v>
      </c>
      <c r="C17" s="6"/>
      <c r="G17" s="11" t="s">
        <v>14</v>
      </c>
      <c r="O17" s="13" t="s">
        <v>21</v>
      </c>
      <c r="P17" s="6"/>
      <c r="U17" s="6" t="str">
        <f t="shared" si="5"/>
        <v>Thu</v>
      </c>
      <c r="V17" s="6">
        <f t="shared" si="5"/>
        <v>889</v>
      </c>
      <c r="W17" s="6">
        <f t="shared" si="6"/>
        <v>941</v>
      </c>
      <c r="X17" s="6" t="str">
        <f t="shared" si="8"/>
        <v/>
      </c>
    </row>
    <row r="18" spans="2:24" x14ac:dyDescent="0.3">
      <c r="B18" s="13" t="str">
        <f>B6</f>
        <v>RouteName</v>
      </c>
      <c r="C18" s="13" t="str">
        <f>C6</f>
        <v>Total Riders (Passengers)</v>
      </c>
      <c r="O18" s="6" t="str">
        <f>IF(O15&lt;0,"YoY change suggests room for improvement", "we are doing well on the current Year")</f>
        <v>YoY change suggests room for improvement</v>
      </c>
      <c r="P18" s="6"/>
      <c r="U18" s="6" t="str">
        <f t="shared" si="5"/>
        <v>Fri</v>
      </c>
      <c r="V18" s="6">
        <f t="shared" si="5"/>
        <v>762</v>
      </c>
      <c r="W18" s="6">
        <f t="shared" si="6"/>
        <v>941</v>
      </c>
      <c r="X18" s="6" t="str">
        <f t="shared" si="8"/>
        <v/>
      </c>
    </row>
    <row r="19" spans="2:24" x14ac:dyDescent="0.3">
      <c r="B19" s="6" t="str">
        <f>B7</f>
        <v>East-West Express</v>
      </c>
      <c r="C19" s="6">
        <f>C7</f>
        <v>1322</v>
      </c>
      <c r="G19" s="1" t="s">
        <v>13</v>
      </c>
      <c r="H19" t="s">
        <v>0</v>
      </c>
      <c r="U19" s="6" t="str">
        <f t="shared" si="5"/>
        <v>Sat</v>
      </c>
      <c r="V19" s="6">
        <f t="shared" si="5"/>
        <v>796</v>
      </c>
      <c r="W19" s="6">
        <f t="shared" si="6"/>
        <v>941</v>
      </c>
      <c r="X19" s="6" t="str">
        <f t="shared" si="8"/>
        <v/>
      </c>
    </row>
    <row r="20" spans="2:24" x14ac:dyDescent="0.3">
      <c r="G20" s="8">
        <v>0.82638888888888884</v>
      </c>
      <c r="H20" s="2">
        <v>15</v>
      </c>
    </row>
    <row r="21" spans="2:24" x14ac:dyDescent="0.3">
      <c r="B21" s="13" t="s">
        <v>6</v>
      </c>
      <c r="C21" s="13"/>
      <c r="U21" s="11" t="s">
        <v>21</v>
      </c>
    </row>
    <row r="22" spans="2:24" x14ac:dyDescent="0.3">
      <c r="B22" s="13" t="str">
        <f>B11</f>
        <v>RouteName</v>
      </c>
      <c r="C22" s="13" t="str">
        <f>C11</f>
        <v>Total Riders (Passengers)</v>
      </c>
      <c r="G22" s="13" t="str">
        <f>G19</f>
        <v>Time</v>
      </c>
      <c r="H22" s="13" t="str">
        <f>H19</f>
        <v>Total Riders (Passengers)</v>
      </c>
      <c r="U22" s="12" t="str">
        <f>"Focus on Highlited Weekdays: They Exceeded the "&amp;W13&amp;" Passengers Average and Account for "&amp;TEXT(U25,"0.0%")&amp;" of the Total Passengers"</f>
        <v>Focus on Highlited Weekdays: They Exceeded the 941 Passengers Average and Account for 49.4% of the Total Passengers</v>
      </c>
    </row>
    <row r="23" spans="2:24" x14ac:dyDescent="0.3">
      <c r="B23" s="6" t="str">
        <f>B12</f>
        <v>South Line</v>
      </c>
      <c r="C23" s="6">
        <f>C12</f>
        <v>185</v>
      </c>
      <c r="G23" s="9">
        <f>G20</f>
        <v>0.82638888888888884</v>
      </c>
      <c r="H23" s="6">
        <f>H20</f>
        <v>15</v>
      </c>
      <c r="U23" s="10"/>
    </row>
    <row r="24" spans="2:24" x14ac:dyDescent="0.3">
      <c r="U24" s="13" t="s">
        <v>32</v>
      </c>
    </row>
    <row r="25" spans="2:24" x14ac:dyDescent="0.3">
      <c r="U25" s="12">
        <f>SUM(X13:X19)/SUM(V13:V19)</f>
        <v>0.4938515257325034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8485-1F2E-4780-9407-95B7C2B429B8}">
  <dimension ref="H43"/>
  <sheetViews>
    <sheetView showGridLines="0" tabSelected="1" zoomScale="95" zoomScaleNormal="95" workbookViewId="0">
      <selection activeCell="L41" sqref="L41"/>
    </sheetView>
  </sheetViews>
  <sheetFormatPr defaultRowHeight="14.4" x14ac:dyDescent="0.3"/>
  <cols>
    <col min="1" max="16384" width="8.88671875" style="5"/>
  </cols>
  <sheetData>
    <row r="43" spans="8:8" x14ac:dyDescent="0.3">
      <c r="H43" s="5" t="s">
        <v>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9A6639CC-DE10-40CA-A04B-F9E52945415A}">
  <ds:schemaRefs/>
</ds:datastoreItem>
</file>

<file path=customXml/itemProps2.xml><?xml version="1.0" encoding="utf-8"?>
<ds:datastoreItem xmlns:ds="http://schemas.openxmlformats.org/officeDocument/2006/customXml" ds:itemID="{D0C842FE-61DE-4AC8-BA51-AE21279A19CA}">
  <ds:schemaRefs/>
</ds:datastoreItem>
</file>

<file path=customXml/itemProps3.xml><?xml version="1.0" encoding="utf-8"?>
<ds:datastoreItem xmlns:ds="http://schemas.openxmlformats.org/officeDocument/2006/customXml" ds:itemID="{E2B462E3-4884-4E93-9527-DBD75C077E97}">
  <ds:schemaRefs/>
</ds:datastoreItem>
</file>

<file path=customXml/itemProps4.xml><?xml version="1.0" encoding="utf-8"?>
<ds:datastoreItem xmlns:ds="http://schemas.openxmlformats.org/officeDocument/2006/customXml" ds:itemID="{74351152-2BFE-4199-A4FB-2DBBCFDAFF2A}">
  <ds:schemaRefs/>
</ds:datastoreItem>
</file>

<file path=customXml/itemProps5.xml><?xml version="1.0" encoding="utf-8"?>
<ds:datastoreItem xmlns:ds="http://schemas.openxmlformats.org/officeDocument/2006/customXml" ds:itemID="{703468AD-78DF-48D2-8019-8AB189919858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EDCFD6A8-B6B4-4ACF-943B-FDFAB12650D5}">
  <ds:schemaRefs/>
</ds:datastoreItem>
</file>

<file path=customXml/itemProps7.xml><?xml version="1.0" encoding="utf-8"?>
<ds:datastoreItem xmlns:ds="http://schemas.openxmlformats.org/officeDocument/2006/customXml" ds:itemID="{4C90B7E7-0B63-4279-AA08-0C2C082AB9FE}">
  <ds:schemaRefs/>
</ds:datastoreItem>
</file>

<file path=customXml/itemProps8.xml><?xml version="1.0" encoding="utf-8"?>
<ds:datastoreItem xmlns:ds="http://schemas.openxmlformats.org/officeDocument/2006/customXml" ds:itemID="{C859A2CF-1670-4E49-8679-810AEBD73E9D}">
  <ds:schemaRefs/>
</ds:datastoreItem>
</file>

<file path=customXml/itemProps9.xml><?xml version="1.0" encoding="utf-8"?>
<ds:datastoreItem xmlns:ds="http://schemas.openxmlformats.org/officeDocument/2006/customXml" ds:itemID="{B05BC4E3-9333-4312-9B05-6C746AD6FA4A}">
  <ds:schemaRefs/>
</ds:datastoreItem>
</file>

<file path=customXml/itemProps10.xml><?xml version="1.0" encoding="utf-8"?>
<ds:datastoreItem xmlns:ds="http://schemas.openxmlformats.org/officeDocument/2006/customXml" ds:itemID="{3AD5AF3F-ACE2-49BA-A4FE-F4743E119BC2}">
  <ds:schemaRefs/>
</ds:datastoreItem>
</file>

<file path=customXml/itemProps11.xml><?xml version="1.0" encoding="utf-8"?>
<ds:datastoreItem xmlns:ds="http://schemas.openxmlformats.org/officeDocument/2006/customXml" ds:itemID="{49FBA60B-3BD6-4FA5-BF02-606C7E9DBD66}">
  <ds:schemaRefs/>
</ds:datastoreItem>
</file>

<file path=customXml/itemProps12.xml><?xml version="1.0" encoding="utf-8"?>
<ds:datastoreItem xmlns:ds="http://schemas.openxmlformats.org/officeDocument/2006/customXml" ds:itemID="{09BC199A-DF23-4343-B137-B525906E1142}">
  <ds:schemaRefs/>
</ds:datastoreItem>
</file>

<file path=customXml/itemProps13.xml><?xml version="1.0" encoding="utf-8"?>
<ds:datastoreItem xmlns:ds="http://schemas.openxmlformats.org/officeDocument/2006/customXml" ds:itemID="{EDB4F059-1EB3-4C5F-9181-EAD6CB57F0D9}">
  <ds:schemaRefs/>
</ds:datastoreItem>
</file>

<file path=customXml/itemProps14.xml><?xml version="1.0" encoding="utf-8"?>
<ds:datastoreItem xmlns:ds="http://schemas.openxmlformats.org/officeDocument/2006/customXml" ds:itemID="{91615662-0766-4CD8-92B6-C66BDC1A3A3B}">
  <ds:schemaRefs/>
</ds:datastoreItem>
</file>

<file path=customXml/itemProps15.xml><?xml version="1.0" encoding="utf-8"?>
<ds:datastoreItem xmlns:ds="http://schemas.openxmlformats.org/officeDocument/2006/customXml" ds:itemID="{3EECA65E-85E0-4A70-BDDD-70153E442AF6}">
  <ds:schemaRefs/>
</ds:datastoreItem>
</file>

<file path=customXml/itemProps16.xml><?xml version="1.0" encoding="utf-8"?>
<ds:datastoreItem xmlns:ds="http://schemas.openxmlformats.org/officeDocument/2006/customXml" ds:itemID="{04A3CA72-2EB2-4F2C-9D92-A714586071EC}">
  <ds:schemaRefs/>
</ds:datastoreItem>
</file>

<file path=customXml/itemProps17.xml><?xml version="1.0" encoding="utf-8"?>
<ds:datastoreItem xmlns:ds="http://schemas.openxmlformats.org/officeDocument/2006/customXml" ds:itemID="{015E126F-03BB-4D7D-8A07-27699CB5594D}">
  <ds:schemaRefs/>
</ds:datastoreItem>
</file>

<file path=customXml/itemProps18.xml><?xml version="1.0" encoding="utf-8"?>
<ds:datastoreItem xmlns:ds="http://schemas.openxmlformats.org/officeDocument/2006/customXml" ds:itemID="{F26B7AC6-5C6A-4936-8B14-1B60FCC6E6D5}">
  <ds:schemaRefs/>
</ds:datastoreItem>
</file>

<file path=customXml/itemProps19.xml><?xml version="1.0" encoding="utf-8"?>
<ds:datastoreItem xmlns:ds="http://schemas.openxmlformats.org/officeDocument/2006/customXml" ds:itemID="{7085F8D7-540C-421B-A668-1D11BC374AAB}">
  <ds:schemaRefs/>
</ds:datastoreItem>
</file>

<file path=customXml/itemProps20.xml><?xml version="1.0" encoding="utf-8"?>
<ds:datastoreItem xmlns:ds="http://schemas.openxmlformats.org/officeDocument/2006/customXml" ds:itemID="{EF809AB0-F95E-497F-8133-73569090BE4C}">
  <ds:schemaRefs/>
</ds:datastoreItem>
</file>

<file path=customXml/itemProps21.xml><?xml version="1.0" encoding="utf-8"?>
<ds:datastoreItem xmlns:ds="http://schemas.openxmlformats.org/officeDocument/2006/customXml" ds:itemID="{14CE121F-8EEA-4FAB-9D60-D6A22AB50D95}">
  <ds:schemaRefs/>
</ds:datastoreItem>
</file>

<file path=customXml/itemProps22.xml><?xml version="1.0" encoding="utf-8"?>
<ds:datastoreItem xmlns:ds="http://schemas.openxmlformats.org/officeDocument/2006/customXml" ds:itemID="{3D59D4F2-B340-48A7-9F51-953159DB0B46}">
  <ds:schemaRefs/>
</ds:datastoreItem>
</file>

<file path=customXml/itemProps23.xml><?xml version="1.0" encoding="utf-8"?>
<ds:datastoreItem xmlns:ds="http://schemas.openxmlformats.org/officeDocument/2006/customXml" ds:itemID="{703DFD39-937A-44E8-B6FB-3BA5AA78EDF0}">
  <ds:schemaRefs/>
</ds:datastoreItem>
</file>

<file path=customXml/itemProps24.xml><?xml version="1.0" encoding="utf-8"?>
<ds:datastoreItem xmlns:ds="http://schemas.openxmlformats.org/officeDocument/2006/customXml" ds:itemID="{B30E384A-B897-45FA-8482-3153989E330F}">
  <ds:schemaRefs/>
</ds:datastoreItem>
</file>

<file path=customXml/itemProps25.xml><?xml version="1.0" encoding="utf-8"?>
<ds:datastoreItem xmlns:ds="http://schemas.openxmlformats.org/officeDocument/2006/customXml" ds:itemID="{526E67DB-891F-4010-8FA3-3A8D0F51B045}">
  <ds:schemaRefs/>
</ds:datastoreItem>
</file>

<file path=customXml/itemProps26.xml><?xml version="1.0" encoding="utf-8"?>
<ds:datastoreItem xmlns:ds="http://schemas.openxmlformats.org/officeDocument/2006/customXml" ds:itemID="{1DE5431F-6E6B-448B-8A69-80478E96AB25}">
  <ds:schemaRefs/>
</ds:datastoreItem>
</file>

<file path=customXml/itemProps27.xml><?xml version="1.0" encoding="utf-8"?>
<ds:datastoreItem xmlns:ds="http://schemas.openxmlformats.org/officeDocument/2006/customXml" ds:itemID="{0E1027EC-CE02-4077-B8F6-30967559DC89}">
  <ds:schemaRefs/>
</ds:datastoreItem>
</file>

<file path=customXml/itemProps28.xml><?xml version="1.0" encoding="utf-8"?>
<ds:datastoreItem xmlns:ds="http://schemas.openxmlformats.org/officeDocument/2006/customXml" ds:itemID="{364FAA6E-4366-4295-ABEE-69AA106B1715}">
  <ds:schemaRefs/>
</ds:datastoreItem>
</file>

<file path=customXml/itemProps29.xml><?xml version="1.0" encoding="utf-8"?>
<ds:datastoreItem xmlns:ds="http://schemas.openxmlformats.org/officeDocument/2006/customXml" ds:itemID="{8645CEC8-D66B-4692-8421-E59C76724116}">
  <ds:schemaRefs/>
</ds:datastoreItem>
</file>

<file path=customXml/itemProps30.xml><?xml version="1.0" encoding="utf-8"?>
<ds:datastoreItem xmlns:ds="http://schemas.openxmlformats.org/officeDocument/2006/customXml" ds:itemID="{EBD6956A-3EF5-4306-9D1A-3D5881CDAFB7}">
  <ds:schemaRefs/>
</ds:datastoreItem>
</file>

<file path=customXml/itemProps31.xml><?xml version="1.0" encoding="utf-8"?>
<ds:datastoreItem xmlns:ds="http://schemas.openxmlformats.org/officeDocument/2006/customXml" ds:itemID="{093D2090-BCD5-42C9-9814-B0CEAA9C9FC5}">
  <ds:schemaRefs/>
</ds:datastoreItem>
</file>

<file path=customXml/itemProps32.xml><?xml version="1.0" encoding="utf-8"?>
<ds:datastoreItem xmlns:ds="http://schemas.openxmlformats.org/officeDocument/2006/customXml" ds:itemID="{14D8C41C-F22B-41CB-BF87-01492BF40C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gupta</dc:creator>
  <cp:lastModifiedBy>Ravindra gupta</cp:lastModifiedBy>
  <dcterms:created xsi:type="dcterms:W3CDTF">2026-09-25T06:01:14Z</dcterms:created>
  <dcterms:modified xsi:type="dcterms:W3CDTF">2026-10-19T16:36:56Z</dcterms:modified>
</cp:coreProperties>
</file>